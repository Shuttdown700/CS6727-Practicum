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nd\Documents\Georgia Tech\CS 6727 (Fall 2026)\CS6727-Practicum\"/>
    </mc:Choice>
  </mc:AlternateContent>
  <xr:revisionPtr revIDLastSave="0" documentId="13_ncr:1_{5C105897-39B9-4A3B-9F62-06E21014A710}" xr6:coauthVersionLast="47" xr6:coauthVersionMax="47" xr10:uidLastSave="{00000000-0000-0000-0000-000000000000}"/>
  <bookViews>
    <workbookView xWindow="6129" yWindow="1714" windowWidth="24685" windowHeight="13055" activeTab="1" xr2:uid="{21B9A7F9-0925-415A-B3CC-3B9105E3B1F2}"/>
  </bookViews>
  <sheets>
    <sheet name="Attack Tree Structure" sheetId="5" r:id="rId1"/>
    <sheet name="Attack Tree Edges" sheetId="6" r:id="rId2"/>
    <sheet name="Attack Leaf Risk Matrix" sheetId="1" r:id="rId3"/>
    <sheet name="Scoring Scales &amp; Logic" sheetId="4" r:id="rId4"/>
    <sheet name="Workflow Burdon Data Collection" sheetId="3" state="hidden" r:id="rId5"/>
    <sheet name="Data Validation" sheetId="2" r:id="rId6"/>
  </sheets>
  <definedNames>
    <definedName name="SolutionFeatures">'Data Validation'!$A$1:$A$15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6" i="1" l="1"/>
  <c r="W7" i="1"/>
  <c r="W9" i="1"/>
  <c r="W11" i="1"/>
  <c r="W13" i="1"/>
  <c r="W14" i="1"/>
  <c r="W15" i="1"/>
  <c r="W16" i="1"/>
  <c r="W17" i="1"/>
  <c r="W25" i="1"/>
  <c r="W26" i="1"/>
  <c r="W27" i="1"/>
  <c r="W28" i="1"/>
  <c r="W29" i="1"/>
  <c r="W30" i="1"/>
  <c r="W31" i="1"/>
  <c r="W32" i="1"/>
  <c r="W34" i="1"/>
  <c r="W35" i="1"/>
  <c r="W36" i="1"/>
  <c r="X36" i="1" s="1"/>
  <c r="W38" i="1"/>
  <c r="W39" i="1"/>
  <c r="W40" i="1"/>
  <c r="X40" i="1" s="1"/>
  <c r="W42" i="1"/>
  <c r="W43" i="1"/>
  <c r="W44" i="1"/>
  <c r="W53" i="1"/>
  <c r="W54" i="1"/>
  <c r="W56" i="1"/>
  <c r="X56" i="1" s="1"/>
  <c r="W57" i="1"/>
  <c r="W58" i="1"/>
  <c r="W59" i="1"/>
  <c r="W60" i="1"/>
  <c r="W61" i="1"/>
  <c r="W62" i="1"/>
  <c r="W63" i="1"/>
  <c r="W64" i="1"/>
  <c r="W65" i="1"/>
  <c r="Q6" i="1"/>
  <c r="Q7" i="1"/>
  <c r="Q9" i="1"/>
  <c r="Q11" i="1"/>
  <c r="Q13" i="1"/>
  <c r="Q14" i="1"/>
  <c r="R14" i="1" s="1"/>
  <c r="Q15" i="1"/>
  <c r="Q16" i="1"/>
  <c r="Q17" i="1"/>
  <c r="Q25" i="1"/>
  <c r="Q26" i="1"/>
  <c r="Q27" i="1"/>
  <c r="Q28" i="1"/>
  <c r="Q29" i="1"/>
  <c r="Q30" i="1"/>
  <c r="Q31" i="1"/>
  <c r="Q32" i="1"/>
  <c r="Q34" i="1"/>
  <c r="Q35" i="1"/>
  <c r="Q36" i="1"/>
  <c r="R36" i="1" s="1"/>
  <c r="Q38" i="1"/>
  <c r="Q39" i="1"/>
  <c r="Q40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R59" i="1" s="1"/>
  <c r="Q60" i="1"/>
  <c r="Q61" i="1"/>
  <c r="Q62" i="1"/>
  <c r="R62" i="1" s="1"/>
  <c r="Q63" i="1"/>
  <c r="Q64" i="1"/>
  <c r="Q65" i="1"/>
  <c r="T6" i="1"/>
  <c r="T7" i="1"/>
  <c r="T9" i="1"/>
  <c r="T11" i="1"/>
  <c r="T13" i="1"/>
  <c r="T14" i="1"/>
  <c r="T15" i="1"/>
  <c r="T16" i="1"/>
  <c r="T17" i="1"/>
  <c r="T25" i="1"/>
  <c r="T26" i="1"/>
  <c r="T27" i="1"/>
  <c r="T28" i="1"/>
  <c r="T29" i="1"/>
  <c r="T30" i="1"/>
  <c r="T31" i="1"/>
  <c r="T32" i="1"/>
  <c r="T34" i="1"/>
  <c r="T35" i="1"/>
  <c r="T36" i="1"/>
  <c r="T38" i="1"/>
  <c r="T39" i="1"/>
  <c r="T40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U63" i="1" s="1"/>
  <c r="T64" i="1"/>
  <c r="T65" i="1"/>
  <c r="O2" i="1"/>
  <c r="O3" i="1"/>
  <c r="O4" i="1"/>
  <c r="O5" i="1"/>
  <c r="O6" i="1"/>
  <c r="R6" i="1" s="1"/>
  <c r="O7" i="1"/>
  <c r="R7" i="1" s="1"/>
  <c r="O8" i="1"/>
  <c r="O9" i="1"/>
  <c r="R9" i="1" s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R27" i="1" s="1"/>
  <c r="O28" i="1"/>
  <c r="R28" i="1" s="1"/>
  <c r="O29" i="1"/>
  <c r="X29" i="1" s="1"/>
  <c r="O30" i="1"/>
  <c r="R30" i="1" s="1"/>
  <c r="O31" i="1"/>
  <c r="O32" i="1"/>
  <c r="U32" i="1" s="1"/>
  <c r="O33" i="1"/>
  <c r="O34" i="1"/>
  <c r="O35" i="1"/>
  <c r="O36" i="1"/>
  <c r="O37" i="1"/>
  <c r="O38" i="1"/>
  <c r="O39" i="1"/>
  <c r="O40" i="1"/>
  <c r="R40" i="1" s="1"/>
  <c r="O41" i="1"/>
  <c r="O42" i="1"/>
  <c r="R42" i="1" s="1"/>
  <c r="O43" i="1"/>
  <c r="X43" i="1" s="1"/>
  <c r="O44" i="1"/>
  <c r="R44" i="1" s="1"/>
  <c r="O45" i="1"/>
  <c r="R45" i="1" s="1"/>
  <c r="O46" i="1"/>
  <c r="O47" i="1"/>
  <c r="O48" i="1"/>
  <c r="O49" i="1"/>
  <c r="O50" i="1"/>
  <c r="O51" i="1"/>
  <c r="O52" i="1"/>
  <c r="R52" i="1" s="1"/>
  <c r="O53" i="1"/>
  <c r="X53" i="1" s="1"/>
  <c r="O54" i="1"/>
  <c r="R54" i="1" s="1"/>
  <c r="O55" i="1"/>
  <c r="R55" i="1" s="1"/>
  <c r="O56" i="1"/>
  <c r="U56" i="1" s="1"/>
  <c r="O57" i="1"/>
  <c r="U57" i="1" s="1"/>
  <c r="O58" i="1"/>
  <c r="O59" i="1"/>
  <c r="O60" i="1"/>
  <c r="O61" i="1"/>
  <c r="O62" i="1"/>
  <c r="O63" i="1"/>
  <c r="O64" i="1"/>
  <c r="X64" i="1" s="1"/>
  <c r="O65" i="1"/>
  <c r="X65" i="1" s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F62" i="1"/>
  <c r="F63" i="1"/>
  <c r="F64" i="1"/>
  <c r="F65" i="1"/>
  <c r="G62" i="1"/>
  <c r="G63" i="1"/>
  <c r="G64" i="1"/>
  <c r="G65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R58" i="1" l="1"/>
  <c r="X63" i="1"/>
  <c r="X42" i="1"/>
  <c r="X27" i="1"/>
  <c r="R32" i="1"/>
  <c r="X16" i="1"/>
  <c r="X62" i="1"/>
  <c r="X26" i="1"/>
  <c r="X39" i="1"/>
  <c r="X15" i="1"/>
  <c r="R56" i="1"/>
  <c r="R63" i="1"/>
  <c r="X59" i="1"/>
  <c r="R51" i="1"/>
  <c r="U50" i="1"/>
  <c r="R47" i="1"/>
  <c r="X44" i="1"/>
  <c r="R35" i="1"/>
  <c r="R57" i="1"/>
  <c r="U35" i="1"/>
  <c r="R60" i="1"/>
  <c r="R48" i="1"/>
  <c r="R34" i="1"/>
  <c r="U59" i="1"/>
  <c r="U47" i="1"/>
  <c r="R46" i="1"/>
  <c r="R31" i="1"/>
  <c r="R11" i="1"/>
  <c r="X17" i="1"/>
  <c r="X7" i="1"/>
  <c r="U31" i="1"/>
  <c r="R29" i="1"/>
  <c r="U45" i="1"/>
  <c r="U30" i="1"/>
  <c r="U9" i="1"/>
  <c r="X34" i="1"/>
  <c r="R26" i="1"/>
  <c r="U55" i="1"/>
  <c r="U44" i="1"/>
  <c r="U29" i="1"/>
  <c r="U7" i="1"/>
  <c r="R43" i="1"/>
  <c r="X32" i="1"/>
  <c r="X38" i="1"/>
  <c r="U14" i="1"/>
  <c r="U39" i="1"/>
  <c r="U43" i="1"/>
  <c r="U28" i="1"/>
  <c r="U6" i="1"/>
  <c r="X58" i="1"/>
  <c r="X54" i="1"/>
  <c r="X31" i="1"/>
  <c r="U42" i="1"/>
  <c r="U27" i="1"/>
  <c r="X30" i="1"/>
  <c r="X9" i="1"/>
  <c r="X60" i="1"/>
  <c r="U65" i="1"/>
  <c r="U40" i="1"/>
  <c r="R39" i="1"/>
  <c r="X57" i="1"/>
  <c r="U64" i="1"/>
  <c r="R38" i="1"/>
  <c r="X6" i="1"/>
  <c r="R65" i="1"/>
  <c r="R50" i="1"/>
  <c r="R17" i="1"/>
  <c r="X14" i="1"/>
  <c r="U62" i="1"/>
  <c r="U26" i="1"/>
  <c r="U58" i="1"/>
  <c r="U46" i="1"/>
  <c r="U34" i="1"/>
  <c r="X61" i="1"/>
  <c r="X25" i="1"/>
  <c r="X13" i="1"/>
  <c r="R64" i="1"/>
  <c r="R16" i="1"/>
  <c r="R61" i="1"/>
  <c r="R49" i="1"/>
  <c r="R25" i="1"/>
  <c r="R13" i="1"/>
  <c r="R15" i="1"/>
  <c r="X28" i="1"/>
  <c r="X35" i="1"/>
  <c r="X11" i="1"/>
  <c r="U54" i="1"/>
  <c r="U38" i="1"/>
  <c r="U53" i="1"/>
  <c r="U17" i="1"/>
  <c r="U52" i="1"/>
  <c r="U16" i="1"/>
  <c r="U51" i="1"/>
  <c r="R53" i="1"/>
  <c r="U61" i="1"/>
  <c r="U49" i="1"/>
  <c r="U25" i="1"/>
  <c r="U13" i="1"/>
  <c r="U15" i="1"/>
  <c r="U60" i="1"/>
  <c r="U48" i="1"/>
  <c r="U36" i="1"/>
  <c r="U11" i="1"/>
  <c r="N62" i="1"/>
  <c r="N50" i="1"/>
  <c r="W50" i="1" s="1"/>
  <c r="X50" i="1" s="1"/>
  <c r="N38" i="1"/>
  <c r="N26" i="1"/>
  <c r="N57" i="1"/>
  <c r="N45" i="1"/>
  <c r="W45" i="1" s="1"/>
  <c r="X45" i="1" s="1"/>
  <c r="N33" i="1"/>
  <c r="N21" i="1"/>
  <c r="N9" i="1"/>
  <c r="N56" i="1"/>
  <c r="N44" i="1"/>
  <c r="N32" i="1"/>
  <c r="N20" i="1"/>
  <c r="N42" i="1"/>
  <c r="N18" i="1"/>
  <c r="N6" i="1"/>
  <c r="N55" i="1"/>
  <c r="W55" i="1" s="1"/>
  <c r="X55" i="1" s="1"/>
  <c r="N43" i="1"/>
  <c r="N31" i="1"/>
  <c r="N19" i="1"/>
  <c r="N7" i="1"/>
  <c r="N8" i="1"/>
  <c r="N54" i="1"/>
  <c r="N30" i="1"/>
  <c r="N61" i="1"/>
  <c r="N49" i="1"/>
  <c r="W49" i="1" s="1"/>
  <c r="X49" i="1" s="1"/>
  <c r="N37" i="1"/>
  <c r="N25" i="1"/>
  <c r="N13" i="1"/>
  <c r="N60" i="1"/>
  <c r="N48" i="1"/>
  <c r="W48" i="1" s="1"/>
  <c r="X48" i="1" s="1"/>
  <c r="N36" i="1"/>
  <c r="N24" i="1"/>
  <c r="N12" i="1"/>
  <c r="N59" i="1"/>
  <c r="N47" i="1"/>
  <c r="W47" i="1" s="1"/>
  <c r="X47" i="1" s="1"/>
  <c r="N35" i="1"/>
  <c r="N23" i="1"/>
  <c r="N11" i="1"/>
  <c r="N58" i="1"/>
  <c r="N46" i="1"/>
  <c r="W46" i="1" s="1"/>
  <c r="X46" i="1" s="1"/>
  <c r="N34" i="1"/>
  <c r="N22" i="1"/>
  <c r="N10" i="1"/>
  <c r="N65" i="1"/>
  <c r="N53" i="1"/>
  <c r="N41" i="1"/>
  <c r="N29" i="1"/>
  <c r="N17" i="1"/>
  <c r="N5" i="1"/>
  <c r="N64" i="1"/>
  <c r="N52" i="1"/>
  <c r="W52" i="1" s="1"/>
  <c r="X52" i="1" s="1"/>
  <c r="N40" i="1"/>
  <c r="N28" i="1"/>
  <c r="N16" i="1"/>
  <c r="N4" i="1"/>
  <c r="N63" i="1"/>
  <c r="N51" i="1"/>
  <c r="W51" i="1" s="1"/>
  <c r="X51" i="1" s="1"/>
  <c r="N39" i="1"/>
  <c r="N27" i="1"/>
  <c r="N15" i="1"/>
  <c r="N3" i="1"/>
  <c r="N14" i="1"/>
  <c r="N2" i="1"/>
  <c r="T24" i="1" l="1"/>
  <c r="U24" i="1" s="1"/>
  <c r="Q24" i="1"/>
  <c r="R24" i="1" s="1"/>
  <c r="W24" i="1"/>
  <c r="X24" i="1" s="1"/>
  <c r="Q4" i="1"/>
  <c r="R4" i="1" s="1"/>
  <c r="W4" i="1"/>
  <c r="X4" i="1" s="1"/>
  <c r="T4" i="1"/>
  <c r="U4" i="1" s="1"/>
  <c r="Q10" i="1"/>
  <c r="R10" i="1" s="1"/>
  <c r="W10" i="1"/>
  <c r="X10" i="1" s="1"/>
  <c r="T10" i="1"/>
  <c r="U10" i="1" s="1"/>
  <c r="Q19" i="1"/>
  <c r="R19" i="1" s="1"/>
  <c r="W19" i="1"/>
  <c r="X19" i="1" s="1"/>
  <c r="T19" i="1"/>
  <c r="U19" i="1" s="1"/>
  <c r="Q21" i="1"/>
  <c r="R21" i="1" s="1"/>
  <c r="W21" i="1"/>
  <c r="X21" i="1" s="1"/>
  <c r="T21" i="1"/>
  <c r="U21" i="1" s="1"/>
  <c r="Q22" i="1"/>
  <c r="R22" i="1" s="1"/>
  <c r="W22" i="1"/>
  <c r="X22" i="1" s="1"/>
  <c r="T22" i="1"/>
  <c r="U22" i="1" s="1"/>
  <c r="Q33" i="1"/>
  <c r="R33" i="1" s="1"/>
  <c r="W33" i="1"/>
  <c r="X33" i="1" s="1"/>
  <c r="T33" i="1"/>
  <c r="U33" i="1" s="1"/>
  <c r="W2" i="1"/>
  <c r="X2" i="1" s="1"/>
  <c r="T2" i="1"/>
  <c r="U2" i="1" s="1"/>
  <c r="U66" i="1" s="1"/>
  <c r="Q2" i="1"/>
  <c r="R2" i="1" s="1"/>
  <c r="T37" i="1"/>
  <c r="U37" i="1" s="1"/>
  <c r="Q37" i="1"/>
  <c r="R37" i="1" s="1"/>
  <c r="W37" i="1"/>
  <c r="X37" i="1" s="1"/>
  <c r="W18" i="1"/>
  <c r="X18" i="1" s="1"/>
  <c r="Q18" i="1"/>
  <c r="R18" i="1" s="1"/>
  <c r="T18" i="1"/>
  <c r="U18" i="1" s="1"/>
  <c r="Q3" i="1"/>
  <c r="R3" i="1" s="1"/>
  <c r="W3" i="1"/>
  <c r="X3" i="1" s="1"/>
  <c r="T3" i="1"/>
  <c r="U3" i="1" s="1"/>
  <c r="Q5" i="1"/>
  <c r="R5" i="1" s="1"/>
  <c r="W5" i="1"/>
  <c r="X5" i="1" s="1"/>
  <c r="T5" i="1"/>
  <c r="U5" i="1" s="1"/>
  <c r="T23" i="1"/>
  <c r="U23" i="1" s="1"/>
  <c r="Q23" i="1"/>
  <c r="R23" i="1" s="1"/>
  <c r="W23" i="1"/>
  <c r="X23" i="1" s="1"/>
  <c r="Q20" i="1"/>
  <c r="R20" i="1" s="1"/>
  <c r="W20" i="1"/>
  <c r="X20" i="1" s="1"/>
  <c r="T20" i="1"/>
  <c r="U20" i="1" s="1"/>
  <c r="Q41" i="1"/>
  <c r="R41" i="1" s="1"/>
  <c r="W41" i="1"/>
  <c r="X41" i="1" s="1"/>
  <c r="T41" i="1"/>
  <c r="U41" i="1" s="1"/>
  <c r="T12" i="1"/>
  <c r="U12" i="1" s="1"/>
  <c r="Q12" i="1"/>
  <c r="R12" i="1" s="1"/>
  <c r="W12" i="1"/>
  <c r="X12" i="1" s="1"/>
  <c r="Q8" i="1"/>
  <c r="R8" i="1" s="1"/>
  <c r="W8" i="1"/>
  <c r="X8" i="1" s="1"/>
  <c r="T8" i="1"/>
  <c r="U8" i="1" s="1"/>
  <c r="X66" i="1" l="1"/>
  <c r="R66" i="1"/>
</calcChain>
</file>

<file path=xl/sharedStrings.xml><?xml version="1.0" encoding="utf-8"?>
<sst xmlns="http://schemas.openxmlformats.org/spreadsheetml/2006/main" count="1654" uniqueCount="300">
  <si>
    <t>ID</t>
  </si>
  <si>
    <t>Risk classes</t>
  </si>
  <si>
    <t>L-001</t>
  </si>
  <si>
    <t>Incorrect slicer profile or parameters applied</t>
  </si>
  <si>
    <t>AN-1</t>
  </si>
  <si>
    <t>RC-3</t>
  </si>
  <si>
    <t>L-002</t>
  </si>
  <si>
    <t>Incorrect or outdated source model selected</t>
  </si>
  <si>
    <t>RC-3, RC-5</t>
  </si>
  <si>
    <t>L-003</t>
  </si>
  <si>
    <t>Deliberate modification by workstation-resident actor</t>
  </si>
  <si>
    <t>L-004</t>
  </si>
  <si>
    <t>Slicer or toolchain component compromised</t>
  </si>
  <si>
    <t>RC-3, RC-6</t>
  </si>
  <si>
    <t>L-005</t>
  </si>
  <si>
    <t>Artifact written to repository outside mediated path</t>
  </si>
  <si>
    <t>AN-1, AN-3</t>
  </si>
  <si>
    <t>RC-3, RC-4</t>
  </si>
  <si>
    <t>L-006</t>
  </si>
  <si>
    <t>Artifact modified by compromised host with write access</t>
  </si>
  <si>
    <t>L-007</t>
  </si>
  <si>
    <t>Artifact overwritten by another operator</t>
  </si>
  <si>
    <t>AN-1, AN-5</t>
  </si>
  <si>
    <t>RC-5</t>
  </si>
  <si>
    <t>L-008</t>
  </si>
  <si>
    <t>Job content altered between submission and machine</t>
  </si>
  <si>
    <t>L-009</t>
  </si>
  <si>
    <t>Content altered during manual media transfer</t>
  </si>
  <si>
    <t>L-010</t>
  </si>
  <si>
    <t>File placed on media outside the sanctioned path</t>
  </si>
  <si>
    <t>L-011</t>
  </si>
  <si>
    <t>Media carrying unknown content swapped between machines</t>
  </si>
  <si>
    <t>L-012</t>
  </si>
  <si>
    <t>Job accepted without integrity verification against manifest</t>
  </si>
  <si>
    <t>L-013</t>
  </si>
  <si>
    <t>Equipment accepts job without provenance check</t>
  </si>
  <si>
    <t>RC-4</t>
  </si>
  <si>
    <t>L-014</t>
  </si>
  <si>
    <t>No hash comparison against authoritative manifest</t>
  </si>
  <si>
    <t>L-015</t>
  </si>
  <si>
    <t>No version authority check at submission</t>
  </si>
  <si>
    <t>L-016</t>
  </si>
  <si>
    <t>No post-fabrication artifact reconciliation</t>
  </si>
  <si>
    <t>L-017</t>
  </si>
  <si>
    <t>Deviation below visual and dimensional inspection threshold</t>
  </si>
  <si>
    <t>L-018</t>
  </si>
  <si>
    <t>Part not functionally tested before issue</t>
  </si>
  <si>
    <t>L-019</t>
  </si>
  <si>
    <t>Malicious content retrieved from public model repository</t>
  </si>
  <si>
    <t>AN-3</t>
  </si>
  <si>
    <t>RC-2, RC-4</t>
  </si>
  <si>
    <t>L-020</t>
  </si>
  <si>
    <t>Malicious content received by email</t>
  </si>
  <si>
    <t>RC-2</t>
  </si>
  <si>
    <t>L-021</t>
  </si>
  <si>
    <t>Software installed outside the validation process</t>
  </si>
  <si>
    <t>RC-2, RC-6</t>
  </si>
  <si>
    <t>L-022</t>
  </si>
  <si>
    <t>Malicious content introduced via removable media</t>
  </si>
  <si>
    <t>L-023</t>
  </si>
  <si>
    <t>Operator enables active content when prompted</t>
  </si>
  <si>
    <t>L-024</t>
  </si>
  <si>
    <t>Direct network path exists from workstation to repository</t>
  </si>
  <si>
    <t>RC-3, RC-8</t>
  </si>
  <si>
    <t>L-025</t>
  </si>
  <si>
    <t>Workstation holds write credentials to the repository</t>
  </si>
  <si>
    <t>L-026</t>
  </si>
  <si>
    <t>Repository accepts writes without service mediation</t>
  </si>
  <si>
    <t>L-027</t>
  </si>
  <si>
    <t>No integrity manifest exists for repository contents</t>
  </si>
  <si>
    <t>L-028</t>
  </si>
  <si>
    <t>No change detection on the repository</t>
  </si>
  <si>
    <t>AN-3, AN-5</t>
  </si>
  <si>
    <t>RC-5, RC-8</t>
  </si>
  <si>
    <t>L-029</t>
  </si>
  <si>
    <t>Repository writes not attributable to an individual</t>
  </si>
  <si>
    <t>L-030</t>
  </si>
  <si>
    <t>Backup reachable within the same credential scope</t>
  </si>
  <si>
    <t>RC-8</t>
  </si>
  <si>
    <t>L-031</t>
  </si>
  <si>
    <t>Affected artifact set cannot be enumerated after the fact</t>
  </si>
  <si>
    <t>RC-4, RC-8</t>
  </si>
  <si>
    <t>L-032</t>
  </si>
  <si>
    <t>Two or more operators hold divergent working copies</t>
  </si>
  <si>
    <t>AN-5</t>
  </si>
  <si>
    <t>L-033</t>
  </si>
  <si>
    <t>Repository permits in-place overwrite</t>
  </si>
  <si>
    <t>L-034</t>
  </si>
  <si>
    <t>Prior version not retained on write</t>
  </si>
  <si>
    <t>L-035</t>
  </si>
  <si>
    <t>No write-conflict detection at publication</t>
  </si>
  <si>
    <t>L-036</t>
  </si>
  <si>
    <t>Operator unaware a newer version exists</t>
  </si>
  <si>
    <t>L-037</t>
  </si>
  <si>
    <t>No version metadata attached to stored artifacts</t>
  </si>
  <si>
    <t>RC-4, RC-5</t>
  </si>
  <si>
    <t>L-038</t>
  </si>
  <si>
    <t>No supersession record between versions</t>
  </si>
  <si>
    <t>L-039</t>
  </si>
  <si>
    <t>No query for the current authoritative version</t>
  </si>
  <si>
    <t>L-040</t>
  </si>
  <si>
    <t>Originating operator unavailable (personnel turnover)</t>
  </si>
  <si>
    <t>L-041</t>
  </si>
  <si>
    <t>No notification to the prior author on overwrite</t>
  </si>
  <si>
    <t>L-042</t>
  </si>
  <si>
    <t>Version currency not checked at retrieval</t>
  </si>
  <si>
    <t>L-043</t>
  </si>
  <si>
    <t>Version currency not checked at job submission</t>
  </si>
  <si>
    <t>L-044</t>
  </si>
  <si>
    <t>Hardware failure of the hosting platform</t>
  </si>
  <si>
    <t>AN-7</t>
  </si>
  <si>
    <t>RC-7</t>
  </si>
  <si>
    <t>L-045</t>
  </si>
  <si>
    <t>Software fault or resource exhaustion</t>
  </si>
  <si>
    <t>L-046</t>
  </si>
  <si>
    <t>Network partition between service and equipment</t>
  </si>
  <si>
    <t>L-047</t>
  </si>
  <si>
    <t>Storage media failure on the hosting platform</t>
  </si>
  <si>
    <t>L-048</t>
  </si>
  <si>
    <t>Deliberate denial of the service by an insider</t>
  </si>
  <si>
    <t>L-049</t>
  </si>
  <si>
    <t>Fabrication task deadline falls within the support window</t>
  </si>
  <si>
    <t>L-050</t>
  </si>
  <si>
    <t>No on-site support available to restore service</t>
  </si>
  <si>
    <t>L-051</t>
  </si>
  <si>
    <t>Remote support latency exceeds deadline margin</t>
  </si>
  <si>
    <t>L-052</t>
  </si>
  <si>
    <t>Physical media path to equipment remains open</t>
  </si>
  <si>
    <t>L-053</t>
  </si>
  <si>
    <t>Direct network path to equipment restorable by operator</t>
  </si>
  <si>
    <t>L-054</t>
  </si>
  <si>
    <t>Personal device used to prepare fabrication instructions</t>
  </si>
  <si>
    <t>RC-7, RC-3</t>
  </si>
  <si>
    <t>L-055</t>
  </si>
  <si>
    <t>Equipment front panel accepts locally initiated jobs</t>
  </si>
  <si>
    <t>L-056</t>
  </si>
  <si>
    <t>No break-glass procedure defined</t>
  </si>
  <si>
    <t>L-057</t>
  </si>
  <si>
    <t>Break-glass authorization not time-limited</t>
  </si>
  <si>
    <t>L-058</t>
  </si>
  <si>
    <t>Bypass action not logged</t>
  </si>
  <si>
    <t>L-059</t>
  </si>
  <si>
    <t>Bypass not reported on service restoration</t>
  </si>
  <si>
    <t>L-060</t>
  </si>
  <si>
    <t>No reconciliation of fabrication activity after restoration</t>
  </si>
  <si>
    <t>Baseline Status</t>
  </si>
  <si>
    <t>Observational Status</t>
  </si>
  <si>
    <t>Mediated Status</t>
  </si>
  <si>
    <t>Solution Feature</t>
  </si>
  <si>
    <t xml:space="preserve">Ingest Mediation </t>
  </si>
  <si>
    <t xml:space="preserve">Repository Access Mediation </t>
  </si>
  <si>
    <t xml:space="preserve">Version Authority </t>
  </si>
  <si>
    <t xml:space="preserve">Fabrication Job Authorization </t>
  </si>
  <si>
    <t xml:space="preserve">Firmware Staging </t>
  </si>
  <si>
    <t xml:space="preserve">Fabrication Activity Recording </t>
  </si>
  <si>
    <t xml:space="preserve">Fabrication Job Reconciliation </t>
  </si>
  <si>
    <t xml:space="preserve">Fabrication Artifact Verification </t>
  </si>
  <si>
    <t xml:space="preserve">Repository Change Detection </t>
  </si>
  <si>
    <t xml:space="preserve">Equipment Configuration Inventory </t>
  </si>
  <si>
    <t xml:space="preserve">Operator Attribution </t>
  </si>
  <si>
    <t xml:space="preserve">Artifact Custody Recording </t>
  </si>
  <si>
    <t xml:space="preserve">Append-Only Event Logging </t>
  </si>
  <si>
    <t xml:space="preserve">Degraded-Mode Operation </t>
  </si>
  <si>
    <t>Frequency</t>
  </si>
  <si>
    <t>Condition</t>
  </si>
  <si>
    <t>N/A</t>
  </si>
  <si>
    <t>Workflow Description</t>
  </si>
  <si>
    <t>Workflow Type</t>
  </si>
  <si>
    <t>Attack Trees</t>
  </si>
  <si>
    <t>Attack Leaf Type</t>
  </si>
  <si>
    <t>Attack Leaf Description</t>
  </si>
  <si>
    <t>High</t>
  </si>
  <si>
    <t>Low</t>
  </si>
  <si>
    <t>Value | Frequency</t>
  </si>
  <si>
    <t>Moderate</t>
  </si>
  <si>
    <t>Very High</t>
  </si>
  <si>
    <t>Very Low</t>
  </si>
  <si>
    <t>AN Occurances</t>
  </si>
  <si>
    <t>RC Occurances</t>
  </si>
  <si>
    <t>L-061</t>
  </si>
  <si>
    <t>L-062</t>
  </si>
  <si>
    <t>L-063</t>
  </si>
  <si>
    <t>L-064</t>
  </si>
  <si>
    <t>Machine accepts a locally initiated job, bypassing submission</t>
  </si>
  <si>
    <t>Compromised host acts through an authenticated portal session</t>
  </si>
  <si>
    <t>Selected artifact is authentic but not the intended design</t>
  </si>
  <si>
    <t>No artifact inventory verification on equipment media</t>
  </si>
  <si>
    <t>RC-3, RC-7</t>
  </si>
  <si>
    <t>Qualitative Values</t>
  </si>
  <si>
    <t>Semi-Quantitative Values</t>
  </si>
  <si>
    <t>Description</t>
  </si>
  <si>
    <t>If the threat event is initiated or occurs, it is somewhat likely to have adverse impacts.</t>
  </si>
  <si>
    <t>If the threat event is initiated or occurs, it is unlikely to have adverse impacts.</t>
  </si>
  <si>
    <t>If the threat event is initiated or occurs, it is almost certain to have adverse impacts</t>
  </si>
  <si>
    <t>If the threat event is initiated or occurs, it is highly unlikely to have adverse impacts.</t>
  </si>
  <si>
    <t>Project-Aligned Description</t>
  </si>
  <si>
    <t>No Operational Effect</t>
  </si>
  <si>
    <t>Almost certain; more than 100 times per year</t>
  </si>
  <si>
    <t>Highly likely; 10 to 100 times per year</t>
  </si>
  <si>
    <t>Somewhat likely; 1 to 10 times per year</t>
  </si>
  <si>
    <t>Unlikely; once every 1 to 10 years</t>
  </si>
  <si>
    <t>Highly unlikely; less than once every 10 years</t>
  </si>
  <si>
    <t>NIST SP 800-30: Assessment Scale - Likelihood of Event Occurance (TABLE G-3)</t>
  </si>
  <si>
    <t>Band | Frequency</t>
  </si>
  <si>
    <t>Band | Impact</t>
  </si>
  <si>
    <t>NIST SP 800-30: Assessment Scale - Likelihood of Event Resulting in Adverse Impacts (TABLE G-4)</t>
  </si>
  <si>
    <t>Band | Likelihood of Adverse Impact</t>
  </si>
  <si>
    <t>Value | Likelihood of Adverse Impact</t>
  </si>
  <si>
    <t>Value | Overall Likelihood</t>
  </si>
  <si>
    <t>Multiple Severe or Catastrophic adverse effects</t>
  </si>
  <si>
    <t>Severe or Catastrophic adverse effects</t>
  </si>
  <si>
    <t>Serious adverse effects</t>
  </si>
  <si>
    <t>Negligible adverse effects</t>
  </si>
  <si>
    <t>Limited adverse Effects</t>
  </si>
  <si>
    <t>NIST SP 800-30: Assessment Scale - Impact of Events (TABLE H-3)</t>
  </si>
  <si>
    <t>Value | Impact</t>
  </si>
  <si>
    <t>NIST SP 800-30: Assessment Scale - Level of Risk (TABLE I-2)</t>
  </si>
  <si>
    <t>NIST SP 800-30: Assessment Scale - Overall Likelihood (TABLE G-5)</t>
  </si>
  <si>
    <t>Likelihood of Event Resulting in Adverse Impacts</t>
  </si>
  <si>
    <t>Likelihood of Event Occurance</t>
  </si>
  <si>
    <t>Conditional Type</t>
  </si>
  <si>
    <t>Amplifier</t>
  </si>
  <si>
    <t>Enabler</t>
  </si>
  <si>
    <t>Constant</t>
  </si>
  <si>
    <t>Unaddressed</t>
  </si>
  <si>
    <t>Partially Addressed</t>
  </si>
  <si>
    <t>Fully Addressed</t>
  </si>
  <si>
    <t>None</t>
  </si>
  <si>
    <t>OR</t>
  </si>
  <si>
    <t>Fabricated part deviates from authoritative design, undetected</t>
  </si>
  <si>
    <t>N-110</t>
  </si>
  <si>
    <t>AND</t>
  </si>
  <si>
    <t>Path A: deviation reaches the part via the submission path</t>
  </si>
  <si>
    <t>N-101</t>
  </si>
  <si>
    <t>Deviation introduced upstream of submission</t>
  </si>
  <si>
    <t>N-111</t>
  </si>
  <si>
    <t>On the workstation, before publication</t>
  </si>
  <si>
    <t>N-112</t>
  </si>
  <si>
    <t>In shared storage, after publication</t>
  </si>
  <si>
    <t>N-113</t>
  </si>
  <si>
    <t>In transit to fabrication equipment</t>
  </si>
  <si>
    <t>N-102</t>
  </si>
  <si>
    <t>Job is accepted and fabricated</t>
  </si>
  <si>
    <t>N-103</t>
  </si>
  <si>
    <t>Deviation not detected on the submission path</t>
  </si>
  <si>
    <t>N-120</t>
  </si>
  <si>
    <t>Path B: deviation reaches the part via direct load at the machine</t>
  </si>
  <si>
    <t>N-114</t>
  </si>
  <si>
    <t>Instruction placed on equipment-attached media</t>
  </si>
  <si>
    <t>N-115</t>
  </si>
  <si>
    <t>Deviation not detected on the direct-load path</t>
  </si>
  <si>
    <t>Repository contents altered or destroyed, undetected, unattributed</t>
  </si>
  <si>
    <t>N-301</t>
  </si>
  <si>
    <t>Adversary achieves execution on a workstation</t>
  </si>
  <si>
    <t>N-302</t>
  </si>
  <si>
    <t>Workstation holds unmediated access to the repository</t>
  </si>
  <si>
    <t>N-303</t>
  </si>
  <si>
    <t>The action is neither detected nor attributable</t>
  </si>
  <si>
    <t>Authoritative design artifact lost or unidentifiable</t>
  </si>
  <si>
    <t>N-501</t>
  </si>
  <si>
    <t>Path to loss</t>
  </si>
  <si>
    <t>N-511</t>
  </si>
  <si>
    <t>Overwrite destroys the authoritative version</t>
  </si>
  <si>
    <t>N-512</t>
  </si>
  <si>
    <t>Authoritative version exists but cannot be identified</t>
  </si>
  <si>
    <t>N-502</t>
  </si>
  <si>
    <t>The loss is not detected in time to recover</t>
  </si>
  <si>
    <t>Fabrication proceeds unmediated and unrecorded during outage</t>
  </si>
  <si>
    <t>N-701</t>
  </si>
  <si>
    <t>The mediating service becomes unavailable</t>
  </si>
  <si>
    <t>N-702</t>
  </si>
  <si>
    <t>Operational pressure requires fabrication to continue</t>
  </si>
  <si>
    <t>N-703</t>
  </si>
  <si>
    <t>A bypass path is available and used</t>
  </si>
  <si>
    <t>N-704</t>
  </si>
  <si>
    <t>The bypass produces no record</t>
  </si>
  <si>
    <t>Node ID</t>
  </si>
  <si>
    <t>Node Type</t>
  </si>
  <si>
    <t>Gate Type</t>
  </si>
  <si>
    <t>Label</t>
  </si>
  <si>
    <t>Root</t>
  </si>
  <si>
    <t>Gate</t>
  </si>
  <si>
    <t>Leaf</t>
  </si>
  <si>
    <t>Affects fielded systems, or permanent unrecoverable loss of technical data</t>
  </si>
  <si>
    <t>Affects the repository: systemic exposure, reconstitution required</t>
  </si>
  <si>
    <t>Affects a single fabrication job, recoverable</t>
  </si>
  <si>
    <t>Affects a single data artifact, recoverable</t>
  </si>
  <si>
    <t>Baseline Likelihood</t>
  </si>
  <si>
    <t>Observational Likelihood</t>
  </si>
  <si>
    <t>Mediated Likelihood</t>
  </si>
  <si>
    <t>Baseline Residual Risk Score</t>
  </si>
  <si>
    <t>Observational Residual Risk Score</t>
  </si>
  <si>
    <t>Mediated Residual Risk</t>
  </si>
  <si>
    <t>NIST SP 800-30: Assessment Scale - Level of Risk (TABLE I-3)</t>
  </si>
  <si>
    <t>Analytically Asserted</t>
  </si>
  <si>
    <t>[T] Solution Effect Confidence</t>
  </si>
  <si>
    <t>Tree</t>
  </si>
  <si>
    <t>Parent ID</t>
  </si>
  <si>
    <t>Child ID</t>
  </si>
  <si>
    <t>Child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</si>
</sst>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0" fillId="0" borderId="0" xfId="0" applyNumberFormat="1"/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3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FCEEB4-48FE-4A12-BDE6-EE0ECF046854}" name="Attack_Tree_Structure" displayName="Attack_Tree_Structure" ref="A1:D90" totalsRowShown="0" headerRowDxfId="33" dataDxfId="32">
  <autoFilter ref="A1:D90" xr:uid="{5AFCEEB4-48FE-4A12-BDE6-EE0ECF046854}"/>
  <tableColumns count="4">
    <tableColumn id="1" xr3:uid="{D0C15913-E673-49A7-B6EE-063B86E70E31}" name="Node ID" dataDxfId="31"/>
    <tableColumn id="2" xr3:uid="{1462BE7C-1820-4E78-B4CF-388CA61AC097}" name="Node Type" dataDxfId="30"/>
    <tableColumn id="3" xr3:uid="{A5F7EB42-9F31-431E-8545-81B7E40F5449}" name="Gate Type" dataDxfId="29"/>
    <tableColumn id="4" xr3:uid="{08389B62-288A-485F-B032-6A552A9F42C2}" name="Label" dataDxfId="28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47C167-CC52-4AEF-B5B7-2D1F2123850E}" name="Table3" displayName="Table3" ref="A1:D89" totalsRowShown="0" headerRowDxfId="0">
  <autoFilter ref="A1:D89" xr:uid="{F147C167-CC52-4AEF-B5B7-2D1F2123850E}"/>
  <tableColumns count="4">
    <tableColumn id="1" xr3:uid="{835C7FAF-FB30-45C2-8A01-F952BFDBCF38}" name="Tree"/>
    <tableColumn id="2" xr3:uid="{0C9CD7AD-4EDC-4F98-829A-D591C8A7A473}" name="Parent ID"/>
    <tableColumn id="3" xr3:uid="{C6C7DBD8-FA0A-45AC-8C85-46F939B1004B}" name="Child ID"/>
    <tableColumn id="4" xr3:uid="{69157BEB-072E-40A5-BB63-A7CA4012ECBE}" name="Child Order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5D2365-3C81-43DD-A255-E4FC590E432A}" name="Attack_Leaf_Matrix" displayName="Attack_Leaf_Matrix" ref="A1:Z66" totalsRowCount="1" headerRowDxfId="27">
  <autoFilter ref="A1:Z65" xr:uid="{E15D2365-3C81-43DD-A255-E4FC590E432A}"/>
  <tableColumns count="26">
    <tableColumn id="1" xr3:uid="{1A5CCE87-C711-4ADE-9B1D-35FA01BBA543}" name="ID"/>
    <tableColumn id="2" xr3:uid="{283846C3-D1D8-4F07-BEA6-66D25C5E3389}" name="Attack Leaf Description"/>
    <tableColumn id="3" xr3:uid="{2E2E0C69-474D-4E1F-AFB0-9A58F3406E34}" name="Attack Leaf Type"/>
    <tableColumn id="4" xr3:uid="{576FF16B-C3AE-499B-92AE-BD4A1DA54776}" name="Attack Trees"/>
    <tableColumn id="5" xr3:uid="{6BADAFDC-1EC4-420F-B7ED-8F6CF4D357AA}" name="Risk classes"/>
    <tableColumn id="17" xr3:uid="{62101D31-5C4A-4123-B70E-D19286FE7BBD}" name="AN Occurances" dataDxfId="26" totalsRowDxfId="25">
      <calculatedColumnFormula>LEN(Attack_Leaf_Matrix[[#This Row],[Attack Trees]]) - LEN(SUBSTITUTE(Attack_Leaf_Matrix[[#This Row],[Attack Trees]], ",", "")) +1</calculatedColumnFormula>
    </tableColumn>
    <tableColumn id="19" xr3:uid="{0F767EC3-E8B9-4AF7-BB71-389657BEC645}" name="RC Occurances" dataDxfId="24" totalsRowDxfId="23">
      <calculatedColumnFormula>LEN(Attack_Leaf_Matrix[[#This Row],[Risk classes]]) - LEN(SUBSTITUTE(Attack_Leaf_Matrix[[#This Row],[Risk classes]], ",", "")) +1</calculatedColumnFormula>
    </tableColumn>
    <tableColumn id="25" xr3:uid="{235D381A-1992-4CC6-A814-851527437DFE}" name="Conditional Type" dataDxfId="22" totalsRowDxfId="21"/>
    <tableColumn id="6" xr3:uid="{79213B7B-49EF-4997-AE0A-024351B669FE}" name="Band | Frequency"/>
    <tableColumn id="7" xr3:uid="{FCA58323-5A1B-4124-830A-574416BF29B8}" name="Band | Likelihood of Adverse Impact"/>
    <tableColumn id="22" xr3:uid="{76B68685-D192-4F3E-9508-8F8A352BFDE6}" name="Band | Impact"/>
    <tableColumn id="18" xr3:uid="{890B75F1-A166-4321-9F9C-331F3BBD6D15}" name="Value | Frequency" dataDxfId="20" totalsRowDxfId="19">
      <calculatedColumnFormula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calculatedColumnFormula>
    </tableColumn>
    <tableColumn id="21" xr3:uid="{3B20296E-EDF3-467B-A064-BEBF7D692F75}" name="Value | Likelihood of Adverse Impact" dataDxfId="18" totalsRowDxfId="17">
      <calculatedColumnFormula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calculatedColumnFormula>
    </tableColumn>
    <tableColumn id="23" xr3:uid="{89F0AD3E-A769-4007-8D4C-94E39C385614}" name="Value | Overall Likelihood" dataDxfId="16" totalsRowDxfId="15">
      <calculatedColumnFormula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calculatedColumnFormula>
    </tableColumn>
    <tableColumn id="24" xr3:uid="{C58F6FC2-2BB9-445B-BD99-FBF0E1552D0A}" name="Value | Impact" dataDxfId="14" totalsRowDxfId="13">
      <calculatedColumnFormula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calculatedColumnFormula>
    </tableColumn>
    <tableColumn id="13" xr3:uid="{BA266DA2-B940-4AC1-9728-5E6FF4079F88}" name="Baseline Status"/>
    <tableColumn id="27" xr3:uid="{71E9A34C-5AA1-490C-B39D-F935F12F3653}" name="Baseline Likelihood" dataDxfId="12" totalsRowDxfId="11">
      <calculatedColumnFormula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calculatedColumnFormula>
    </tableColumn>
    <tableColumn id="30" xr3:uid="{6A430A4F-8187-4B50-88BE-7251C885B1B3}" name="Baseline Residual Risk Score" totalsRowFunction="sum" dataDxfId="10" totalsRowDxfId="9">
      <calculatedColumnFormula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calculatedColumnFormula>
    </tableColumn>
    <tableColumn id="14" xr3:uid="{7D5D0391-B1BC-4282-954F-000168411CC8}" name="Observational Status"/>
    <tableColumn id="28" xr3:uid="{759CAE05-6E97-4145-8817-FA43978E5E6A}" name="Observational Likelihood" dataDxfId="8" totalsRowDxfId="7">
      <calculatedColumnFormula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calculatedColumnFormula>
    </tableColumn>
    <tableColumn id="31" xr3:uid="{9CDFA099-70A0-4E9B-A9C7-0C49E894E2EC}" name="Observational Residual Risk Score" totalsRowFunction="sum" dataDxfId="6" totalsRowDxfId="5">
      <calculatedColumnFormula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calculatedColumnFormula>
    </tableColumn>
    <tableColumn id="15" xr3:uid="{2B1D578D-78C8-4111-AAD9-621705E106EC}" name="Mediated Status"/>
    <tableColumn id="29" xr3:uid="{44B715D6-D502-403A-8863-F9F1D526E494}" name="Mediated Likelihood" dataDxfId="4" totalsRowDxfId="3">
      <calculatedColumnFormula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calculatedColumnFormula>
    </tableColumn>
    <tableColumn id="32" xr3:uid="{76EB2495-3E37-455E-A5CF-1D48D95481CE}" name="Mediated Residual Risk" totalsRowFunction="custom" dataDxfId="2" totalsRowDxfId="1">
      <calculatedColumnFormula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calculatedColumnFormula>
      <totalsRowFormula>SUM(Attack_Leaf_Matrix[Mediated Residual Risk])</totalsRowFormula>
    </tableColumn>
    <tableColumn id="16" xr3:uid="{7FCBF01A-9C9F-4131-9A9F-CDF0C6B39883}" name="Solution Feature"/>
    <tableColumn id="26" xr3:uid="{BBE9A237-11E9-41BF-BDA1-D207A7D81EEA}" name="[T] Solution Effect Confidenc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CF952-8211-445B-BDBE-63EAC666E160}">
  <dimension ref="A1:D90"/>
  <sheetViews>
    <sheetView workbookViewId="0">
      <selection activeCell="C16" sqref="A2:D90"/>
    </sheetView>
  </sheetViews>
  <sheetFormatPr defaultRowHeight="14.6" x14ac:dyDescent="0.4"/>
  <cols>
    <col min="1" max="1" width="9.3828125" style="10" customWidth="1"/>
    <col min="2" max="2" width="11.61328125" style="10" customWidth="1"/>
    <col min="3" max="3" width="11.15234375" style="10" customWidth="1"/>
    <col min="4" max="4" width="57.4609375" style="11" bestFit="1" customWidth="1"/>
    <col min="5" max="16384" width="9.23046875" style="10"/>
  </cols>
  <sheetData>
    <row r="1" spans="1:4" x14ac:dyDescent="0.4">
      <c r="A1" s="10" t="s">
        <v>276</v>
      </c>
      <c r="B1" s="10" t="s">
        <v>277</v>
      </c>
      <c r="C1" s="10" t="s">
        <v>278</v>
      </c>
      <c r="D1" s="10" t="s">
        <v>279</v>
      </c>
    </row>
    <row r="2" spans="1:4" x14ac:dyDescent="0.4">
      <c r="A2" s="10" t="s">
        <v>4</v>
      </c>
      <c r="B2" s="10" t="s">
        <v>280</v>
      </c>
      <c r="C2" s="10" t="s">
        <v>228</v>
      </c>
      <c r="D2" s="11" t="s">
        <v>229</v>
      </c>
    </row>
    <row r="3" spans="1:4" x14ac:dyDescent="0.4">
      <c r="A3" s="10" t="s">
        <v>230</v>
      </c>
      <c r="B3" s="10" t="s">
        <v>281</v>
      </c>
      <c r="C3" s="10" t="s">
        <v>231</v>
      </c>
      <c r="D3" s="11" t="s">
        <v>232</v>
      </c>
    </row>
    <row r="4" spans="1:4" x14ac:dyDescent="0.4">
      <c r="A4" s="10" t="s">
        <v>233</v>
      </c>
      <c r="B4" s="10" t="s">
        <v>281</v>
      </c>
      <c r="C4" s="10" t="s">
        <v>228</v>
      </c>
      <c r="D4" s="11" t="s">
        <v>234</v>
      </c>
    </row>
    <row r="5" spans="1:4" x14ac:dyDescent="0.4">
      <c r="A5" s="10" t="s">
        <v>235</v>
      </c>
      <c r="B5" s="10" t="s">
        <v>281</v>
      </c>
      <c r="C5" s="10" t="s">
        <v>228</v>
      </c>
      <c r="D5" s="11" t="s">
        <v>236</v>
      </c>
    </row>
    <row r="6" spans="1:4" x14ac:dyDescent="0.4">
      <c r="A6" s="10" t="s">
        <v>237</v>
      </c>
      <c r="B6" s="10" t="s">
        <v>281</v>
      </c>
      <c r="C6" s="10" t="s">
        <v>228</v>
      </c>
      <c r="D6" s="11" t="s">
        <v>238</v>
      </c>
    </row>
    <row r="7" spans="1:4" x14ac:dyDescent="0.4">
      <c r="A7" s="10" t="s">
        <v>239</v>
      </c>
      <c r="B7" s="10" t="s">
        <v>281</v>
      </c>
      <c r="C7" s="10" t="s">
        <v>228</v>
      </c>
      <c r="D7" s="11" t="s">
        <v>240</v>
      </c>
    </row>
    <row r="8" spans="1:4" x14ac:dyDescent="0.4">
      <c r="A8" s="10" t="s">
        <v>241</v>
      </c>
      <c r="B8" s="10" t="s">
        <v>281</v>
      </c>
      <c r="C8" s="10" t="s">
        <v>231</v>
      </c>
      <c r="D8" s="11" t="s">
        <v>242</v>
      </c>
    </row>
    <row r="9" spans="1:4" x14ac:dyDescent="0.4">
      <c r="A9" s="10" t="s">
        <v>243</v>
      </c>
      <c r="B9" s="10" t="s">
        <v>281</v>
      </c>
      <c r="C9" s="10" t="s">
        <v>231</v>
      </c>
      <c r="D9" s="11" t="s">
        <v>244</v>
      </c>
    </row>
    <row r="10" spans="1:4" x14ac:dyDescent="0.4">
      <c r="A10" s="10" t="s">
        <v>245</v>
      </c>
      <c r="B10" s="10" t="s">
        <v>281</v>
      </c>
      <c r="C10" s="10" t="s">
        <v>231</v>
      </c>
      <c r="D10" s="11" t="s">
        <v>246</v>
      </c>
    </row>
    <row r="11" spans="1:4" x14ac:dyDescent="0.4">
      <c r="A11" s="10" t="s">
        <v>247</v>
      </c>
      <c r="B11" s="10" t="s">
        <v>281</v>
      </c>
      <c r="C11" s="10" t="s">
        <v>228</v>
      </c>
      <c r="D11" s="11" t="s">
        <v>248</v>
      </c>
    </row>
    <row r="12" spans="1:4" x14ac:dyDescent="0.4">
      <c r="A12" s="10" t="s">
        <v>249</v>
      </c>
      <c r="B12" s="10" t="s">
        <v>281</v>
      </c>
      <c r="C12" s="10" t="s">
        <v>231</v>
      </c>
      <c r="D12" s="11" t="s">
        <v>250</v>
      </c>
    </row>
    <row r="13" spans="1:4" x14ac:dyDescent="0.4">
      <c r="A13" s="10" t="s">
        <v>49</v>
      </c>
      <c r="B13" s="10" t="s">
        <v>280</v>
      </c>
      <c r="C13" s="10" t="s">
        <v>231</v>
      </c>
      <c r="D13" s="11" t="s">
        <v>251</v>
      </c>
    </row>
    <row r="14" spans="1:4" x14ac:dyDescent="0.4">
      <c r="A14" s="10" t="s">
        <v>252</v>
      </c>
      <c r="B14" s="10" t="s">
        <v>281</v>
      </c>
      <c r="C14" s="10" t="s">
        <v>228</v>
      </c>
      <c r="D14" s="11" t="s">
        <v>253</v>
      </c>
    </row>
    <row r="15" spans="1:4" x14ac:dyDescent="0.4">
      <c r="A15" s="10" t="s">
        <v>254</v>
      </c>
      <c r="B15" s="10" t="s">
        <v>281</v>
      </c>
      <c r="C15" s="10" t="s">
        <v>231</v>
      </c>
      <c r="D15" s="11" t="s">
        <v>255</v>
      </c>
    </row>
    <row r="16" spans="1:4" x14ac:dyDescent="0.4">
      <c r="A16" s="10" t="s">
        <v>256</v>
      </c>
      <c r="B16" s="10" t="s">
        <v>281</v>
      </c>
      <c r="C16" s="10" t="s">
        <v>231</v>
      </c>
      <c r="D16" s="11" t="s">
        <v>257</v>
      </c>
    </row>
    <row r="17" spans="1:4" x14ac:dyDescent="0.4">
      <c r="A17" s="10" t="s">
        <v>84</v>
      </c>
      <c r="B17" s="10" t="s">
        <v>280</v>
      </c>
      <c r="C17" s="10" t="s">
        <v>231</v>
      </c>
      <c r="D17" s="11" t="s">
        <v>258</v>
      </c>
    </row>
    <row r="18" spans="1:4" x14ac:dyDescent="0.4">
      <c r="A18" s="10" t="s">
        <v>259</v>
      </c>
      <c r="B18" s="10" t="s">
        <v>281</v>
      </c>
      <c r="C18" s="10" t="s">
        <v>228</v>
      </c>
      <c r="D18" s="11" t="s">
        <v>260</v>
      </c>
    </row>
    <row r="19" spans="1:4" x14ac:dyDescent="0.4">
      <c r="A19" s="10" t="s">
        <v>261</v>
      </c>
      <c r="B19" s="10" t="s">
        <v>281</v>
      </c>
      <c r="C19" s="10" t="s">
        <v>231</v>
      </c>
      <c r="D19" s="11" t="s">
        <v>262</v>
      </c>
    </row>
    <row r="20" spans="1:4" x14ac:dyDescent="0.4">
      <c r="A20" s="10" t="s">
        <v>263</v>
      </c>
      <c r="B20" s="10" t="s">
        <v>281</v>
      </c>
      <c r="C20" s="10" t="s">
        <v>231</v>
      </c>
      <c r="D20" s="11" t="s">
        <v>264</v>
      </c>
    </row>
    <row r="21" spans="1:4" x14ac:dyDescent="0.4">
      <c r="A21" s="10" t="s">
        <v>265</v>
      </c>
      <c r="B21" s="10" t="s">
        <v>281</v>
      </c>
      <c r="C21" s="10" t="s">
        <v>231</v>
      </c>
      <c r="D21" s="11" t="s">
        <v>266</v>
      </c>
    </row>
    <row r="22" spans="1:4" x14ac:dyDescent="0.4">
      <c r="A22" s="10" t="s">
        <v>110</v>
      </c>
      <c r="B22" s="10" t="s">
        <v>280</v>
      </c>
      <c r="C22" s="10" t="s">
        <v>231</v>
      </c>
      <c r="D22" s="11" t="s">
        <v>267</v>
      </c>
    </row>
    <row r="23" spans="1:4" x14ac:dyDescent="0.4">
      <c r="A23" s="10" t="s">
        <v>268</v>
      </c>
      <c r="B23" s="10" t="s">
        <v>281</v>
      </c>
      <c r="C23" s="10" t="s">
        <v>228</v>
      </c>
      <c r="D23" s="11" t="s">
        <v>269</v>
      </c>
    </row>
    <row r="24" spans="1:4" x14ac:dyDescent="0.4">
      <c r="A24" s="10" t="s">
        <v>270</v>
      </c>
      <c r="B24" s="10" t="s">
        <v>281</v>
      </c>
      <c r="C24" s="10" t="s">
        <v>231</v>
      </c>
      <c r="D24" s="11" t="s">
        <v>271</v>
      </c>
    </row>
    <row r="25" spans="1:4" x14ac:dyDescent="0.4">
      <c r="A25" s="10" t="s">
        <v>272</v>
      </c>
      <c r="B25" s="10" t="s">
        <v>281</v>
      </c>
      <c r="C25" s="10" t="s">
        <v>228</v>
      </c>
      <c r="D25" s="11" t="s">
        <v>273</v>
      </c>
    </row>
    <row r="26" spans="1:4" x14ac:dyDescent="0.4">
      <c r="A26" s="10" t="s">
        <v>274</v>
      </c>
      <c r="B26" s="10" t="s">
        <v>281</v>
      </c>
      <c r="C26" s="10" t="s">
        <v>231</v>
      </c>
      <c r="D26" s="11" t="s">
        <v>275</v>
      </c>
    </row>
    <row r="27" spans="1:4" x14ac:dyDescent="0.4">
      <c r="A27" s="10" t="s">
        <v>2</v>
      </c>
      <c r="B27" s="10" t="s">
        <v>282</v>
      </c>
      <c r="C27" s="10" t="s">
        <v>165</v>
      </c>
      <c r="D27" s="11" t="s">
        <v>3</v>
      </c>
    </row>
    <row r="28" spans="1:4" x14ac:dyDescent="0.4">
      <c r="A28" s="10" t="s">
        <v>6</v>
      </c>
      <c r="B28" s="10" t="s">
        <v>282</v>
      </c>
      <c r="C28" s="10" t="s">
        <v>165</v>
      </c>
      <c r="D28" s="11" t="s">
        <v>7</v>
      </c>
    </row>
    <row r="29" spans="1:4" x14ac:dyDescent="0.4">
      <c r="A29" s="10" t="s">
        <v>9</v>
      </c>
      <c r="B29" s="10" t="s">
        <v>282</v>
      </c>
      <c r="C29" s="10" t="s">
        <v>165</v>
      </c>
      <c r="D29" s="11" t="s">
        <v>10</v>
      </c>
    </row>
    <row r="30" spans="1:4" x14ac:dyDescent="0.4">
      <c r="A30" s="10" t="s">
        <v>11</v>
      </c>
      <c r="B30" s="10" t="s">
        <v>282</v>
      </c>
      <c r="C30" s="10" t="s">
        <v>165</v>
      </c>
      <c r="D30" s="11" t="s">
        <v>12</v>
      </c>
    </row>
    <row r="31" spans="1:4" x14ac:dyDescent="0.4">
      <c r="A31" s="10" t="s">
        <v>14</v>
      </c>
      <c r="B31" s="10" t="s">
        <v>282</v>
      </c>
      <c r="C31" s="10" t="s">
        <v>165</v>
      </c>
      <c r="D31" s="11" t="s">
        <v>15</v>
      </c>
    </row>
    <row r="32" spans="1:4" x14ac:dyDescent="0.4">
      <c r="A32" s="10" t="s">
        <v>18</v>
      </c>
      <c r="B32" s="10" t="s">
        <v>282</v>
      </c>
      <c r="C32" s="10" t="s">
        <v>165</v>
      </c>
      <c r="D32" s="11" t="s">
        <v>19</v>
      </c>
    </row>
    <row r="33" spans="1:4" x14ac:dyDescent="0.4">
      <c r="A33" s="10" t="s">
        <v>20</v>
      </c>
      <c r="B33" s="10" t="s">
        <v>282</v>
      </c>
      <c r="C33" s="10" t="s">
        <v>165</v>
      </c>
      <c r="D33" s="11" t="s">
        <v>21</v>
      </c>
    </row>
    <row r="34" spans="1:4" x14ac:dyDescent="0.4">
      <c r="A34" s="10" t="s">
        <v>24</v>
      </c>
      <c r="B34" s="10" t="s">
        <v>282</v>
      </c>
      <c r="C34" s="10" t="s">
        <v>165</v>
      </c>
      <c r="D34" s="11" t="s">
        <v>25</v>
      </c>
    </row>
    <row r="35" spans="1:4" x14ac:dyDescent="0.4">
      <c r="A35" s="10" t="s">
        <v>26</v>
      </c>
      <c r="B35" s="10" t="s">
        <v>282</v>
      </c>
      <c r="C35" s="10" t="s">
        <v>165</v>
      </c>
      <c r="D35" s="11" t="s">
        <v>27</v>
      </c>
    </row>
    <row r="36" spans="1:4" x14ac:dyDescent="0.4">
      <c r="A36" s="10" t="s">
        <v>28</v>
      </c>
      <c r="B36" s="10" t="s">
        <v>282</v>
      </c>
      <c r="C36" s="10" t="s">
        <v>165</v>
      </c>
      <c r="D36" s="11" t="s">
        <v>29</v>
      </c>
    </row>
    <row r="37" spans="1:4" x14ac:dyDescent="0.4">
      <c r="A37" s="10" t="s">
        <v>30</v>
      </c>
      <c r="B37" s="10" t="s">
        <v>282</v>
      </c>
      <c r="C37" s="10" t="s">
        <v>165</v>
      </c>
      <c r="D37" s="11" t="s">
        <v>31</v>
      </c>
    </row>
    <row r="38" spans="1:4" x14ac:dyDescent="0.4">
      <c r="A38" s="10" t="s">
        <v>32</v>
      </c>
      <c r="B38" s="10" t="s">
        <v>282</v>
      </c>
      <c r="C38" s="10" t="s">
        <v>165</v>
      </c>
      <c r="D38" s="11" t="s">
        <v>33</v>
      </c>
    </row>
    <row r="39" spans="1:4" x14ac:dyDescent="0.4">
      <c r="A39" s="10" t="s">
        <v>34</v>
      </c>
      <c r="B39" s="10" t="s">
        <v>282</v>
      </c>
      <c r="C39" s="10" t="s">
        <v>165</v>
      </c>
      <c r="D39" s="11" t="s">
        <v>35</v>
      </c>
    </row>
    <row r="40" spans="1:4" x14ac:dyDescent="0.4">
      <c r="A40" s="10" t="s">
        <v>37</v>
      </c>
      <c r="B40" s="10" t="s">
        <v>282</v>
      </c>
      <c r="C40" s="10" t="s">
        <v>165</v>
      </c>
      <c r="D40" s="11" t="s">
        <v>38</v>
      </c>
    </row>
    <row r="41" spans="1:4" x14ac:dyDescent="0.4">
      <c r="A41" s="10" t="s">
        <v>39</v>
      </c>
      <c r="B41" s="10" t="s">
        <v>282</v>
      </c>
      <c r="C41" s="10" t="s">
        <v>165</v>
      </c>
      <c r="D41" s="11" t="s">
        <v>40</v>
      </c>
    </row>
    <row r="42" spans="1:4" x14ac:dyDescent="0.4">
      <c r="A42" s="10" t="s">
        <v>41</v>
      </c>
      <c r="B42" s="10" t="s">
        <v>282</v>
      </c>
      <c r="C42" s="10" t="s">
        <v>165</v>
      </c>
      <c r="D42" s="11" t="s">
        <v>42</v>
      </c>
    </row>
    <row r="43" spans="1:4" x14ac:dyDescent="0.4">
      <c r="A43" s="10" t="s">
        <v>43</v>
      </c>
      <c r="B43" s="10" t="s">
        <v>282</v>
      </c>
      <c r="C43" s="10" t="s">
        <v>165</v>
      </c>
      <c r="D43" s="11" t="s">
        <v>44</v>
      </c>
    </row>
    <row r="44" spans="1:4" x14ac:dyDescent="0.4">
      <c r="A44" s="10" t="s">
        <v>45</v>
      </c>
      <c r="B44" s="10" t="s">
        <v>282</v>
      </c>
      <c r="C44" s="10" t="s">
        <v>165</v>
      </c>
      <c r="D44" s="11" t="s">
        <v>46</v>
      </c>
    </row>
    <row r="45" spans="1:4" x14ac:dyDescent="0.4">
      <c r="A45" s="10" t="s">
        <v>47</v>
      </c>
      <c r="B45" s="10" t="s">
        <v>282</v>
      </c>
      <c r="C45" s="10" t="s">
        <v>165</v>
      </c>
      <c r="D45" s="11" t="s">
        <v>48</v>
      </c>
    </row>
    <row r="46" spans="1:4" x14ac:dyDescent="0.4">
      <c r="A46" s="10" t="s">
        <v>51</v>
      </c>
      <c r="B46" s="10" t="s">
        <v>282</v>
      </c>
      <c r="C46" s="10" t="s">
        <v>165</v>
      </c>
      <c r="D46" s="11" t="s">
        <v>52</v>
      </c>
    </row>
    <row r="47" spans="1:4" x14ac:dyDescent="0.4">
      <c r="A47" s="10" t="s">
        <v>54</v>
      </c>
      <c r="B47" s="10" t="s">
        <v>282</v>
      </c>
      <c r="C47" s="10" t="s">
        <v>165</v>
      </c>
      <c r="D47" s="11" t="s">
        <v>55</v>
      </c>
    </row>
    <row r="48" spans="1:4" x14ac:dyDescent="0.4">
      <c r="A48" s="10" t="s">
        <v>57</v>
      </c>
      <c r="B48" s="10" t="s">
        <v>282</v>
      </c>
      <c r="C48" s="10" t="s">
        <v>165</v>
      </c>
      <c r="D48" s="11" t="s">
        <v>58</v>
      </c>
    </row>
    <row r="49" spans="1:4" x14ac:dyDescent="0.4">
      <c r="A49" s="10" t="s">
        <v>59</v>
      </c>
      <c r="B49" s="10" t="s">
        <v>282</v>
      </c>
      <c r="C49" s="10" t="s">
        <v>165</v>
      </c>
      <c r="D49" s="11" t="s">
        <v>60</v>
      </c>
    </row>
    <row r="50" spans="1:4" x14ac:dyDescent="0.4">
      <c r="A50" s="10" t="s">
        <v>61</v>
      </c>
      <c r="B50" s="10" t="s">
        <v>282</v>
      </c>
      <c r="C50" s="10" t="s">
        <v>165</v>
      </c>
      <c r="D50" s="11" t="s">
        <v>62</v>
      </c>
    </row>
    <row r="51" spans="1:4" x14ac:dyDescent="0.4">
      <c r="A51" s="10" t="s">
        <v>64</v>
      </c>
      <c r="B51" s="10" t="s">
        <v>282</v>
      </c>
      <c r="C51" s="10" t="s">
        <v>165</v>
      </c>
      <c r="D51" s="11" t="s">
        <v>65</v>
      </c>
    </row>
    <row r="52" spans="1:4" x14ac:dyDescent="0.4">
      <c r="A52" s="10" t="s">
        <v>66</v>
      </c>
      <c r="B52" s="10" t="s">
        <v>282</v>
      </c>
      <c r="C52" s="10" t="s">
        <v>165</v>
      </c>
      <c r="D52" s="11" t="s">
        <v>67</v>
      </c>
    </row>
    <row r="53" spans="1:4" x14ac:dyDescent="0.4">
      <c r="A53" s="10" t="s">
        <v>68</v>
      </c>
      <c r="B53" s="10" t="s">
        <v>282</v>
      </c>
      <c r="C53" s="10" t="s">
        <v>165</v>
      </c>
      <c r="D53" s="11" t="s">
        <v>69</v>
      </c>
    </row>
    <row r="54" spans="1:4" x14ac:dyDescent="0.4">
      <c r="A54" s="10" t="s">
        <v>70</v>
      </c>
      <c r="B54" s="10" t="s">
        <v>282</v>
      </c>
      <c r="C54" s="10" t="s">
        <v>165</v>
      </c>
      <c r="D54" s="11" t="s">
        <v>71</v>
      </c>
    </row>
    <row r="55" spans="1:4" x14ac:dyDescent="0.4">
      <c r="A55" s="10" t="s">
        <v>74</v>
      </c>
      <c r="B55" s="10" t="s">
        <v>282</v>
      </c>
      <c r="C55" s="10" t="s">
        <v>165</v>
      </c>
      <c r="D55" s="11" t="s">
        <v>75</v>
      </c>
    </row>
    <row r="56" spans="1:4" x14ac:dyDescent="0.4">
      <c r="A56" s="10" t="s">
        <v>76</v>
      </c>
      <c r="B56" s="10" t="s">
        <v>282</v>
      </c>
      <c r="C56" s="10" t="s">
        <v>165</v>
      </c>
      <c r="D56" s="11" t="s">
        <v>77</v>
      </c>
    </row>
    <row r="57" spans="1:4" x14ac:dyDescent="0.4">
      <c r="A57" s="10" t="s">
        <v>79</v>
      </c>
      <c r="B57" s="10" t="s">
        <v>282</v>
      </c>
      <c r="C57" s="10" t="s">
        <v>165</v>
      </c>
      <c r="D57" s="11" t="s">
        <v>80</v>
      </c>
    </row>
    <row r="58" spans="1:4" x14ac:dyDescent="0.4">
      <c r="A58" s="10" t="s">
        <v>82</v>
      </c>
      <c r="B58" s="10" t="s">
        <v>282</v>
      </c>
      <c r="C58" s="10" t="s">
        <v>165</v>
      </c>
      <c r="D58" s="11" t="s">
        <v>83</v>
      </c>
    </row>
    <row r="59" spans="1:4" x14ac:dyDescent="0.4">
      <c r="A59" s="10" t="s">
        <v>85</v>
      </c>
      <c r="B59" s="10" t="s">
        <v>282</v>
      </c>
      <c r="C59" s="10" t="s">
        <v>165</v>
      </c>
      <c r="D59" s="11" t="s">
        <v>86</v>
      </c>
    </row>
    <row r="60" spans="1:4" x14ac:dyDescent="0.4">
      <c r="A60" s="10" t="s">
        <v>87</v>
      </c>
      <c r="B60" s="10" t="s">
        <v>282</v>
      </c>
      <c r="C60" s="10" t="s">
        <v>165</v>
      </c>
      <c r="D60" s="11" t="s">
        <v>88</v>
      </c>
    </row>
    <row r="61" spans="1:4" x14ac:dyDescent="0.4">
      <c r="A61" s="10" t="s">
        <v>89</v>
      </c>
      <c r="B61" s="10" t="s">
        <v>282</v>
      </c>
      <c r="C61" s="10" t="s">
        <v>165</v>
      </c>
      <c r="D61" s="11" t="s">
        <v>90</v>
      </c>
    </row>
    <row r="62" spans="1:4" x14ac:dyDescent="0.4">
      <c r="A62" s="10" t="s">
        <v>91</v>
      </c>
      <c r="B62" s="10" t="s">
        <v>282</v>
      </c>
      <c r="C62" s="10" t="s">
        <v>165</v>
      </c>
      <c r="D62" s="11" t="s">
        <v>92</v>
      </c>
    </row>
    <row r="63" spans="1:4" x14ac:dyDescent="0.4">
      <c r="A63" s="10" t="s">
        <v>93</v>
      </c>
      <c r="B63" s="10" t="s">
        <v>282</v>
      </c>
      <c r="C63" s="10" t="s">
        <v>165</v>
      </c>
      <c r="D63" s="11" t="s">
        <v>94</v>
      </c>
    </row>
    <row r="64" spans="1:4" x14ac:dyDescent="0.4">
      <c r="A64" s="10" t="s">
        <v>96</v>
      </c>
      <c r="B64" s="10" t="s">
        <v>282</v>
      </c>
      <c r="C64" s="10" t="s">
        <v>165</v>
      </c>
      <c r="D64" s="11" t="s">
        <v>97</v>
      </c>
    </row>
    <row r="65" spans="1:4" x14ac:dyDescent="0.4">
      <c r="A65" s="10" t="s">
        <v>98</v>
      </c>
      <c r="B65" s="10" t="s">
        <v>282</v>
      </c>
      <c r="C65" s="10" t="s">
        <v>165</v>
      </c>
      <c r="D65" s="11" t="s">
        <v>99</v>
      </c>
    </row>
    <row r="66" spans="1:4" x14ac:dyDescent="0.4">
      <c r="A66" s="10" t="s">
        <v>100</v>
      </c>
      <c r="B66" s="10" t="s">
        <v>282</v>
      </c>
      <c r="C66" s="10" t="s">
        <v>165</v>
      </c>
      <c r="D66" s="11" t="s">
        <v>101</v>
      </c>
    </row>
    <row r="67" spans="1:4" x14ac:dyDescent="0.4">
      <c r="A67" s="10" t="s">
        <v>102</v>
      </c>
      <c r="B67" s="10" t="s">
        <v>282</v>
      </c>
      <c r="C67" s="10" t="s">
        <v>165</v>
      </c>
      <c r="D67" s="11" t="s">
        <v>103</v>
      </c>
    </row>
    <row r="68" spans="1:4" x14ac:dyDescent="0.4">
      <c r="A68" s="10" t="s">
        <v>104</v>
      </c>
      <c r="B68" s="10" t="s">
        <v>282</v>
      </c>
      <c r="C68" s="10" t="s">
        <v>165</v>
      </c>
      <c r="D68" s="11" t="s">
        <v>105</v>
      </c>
    </row>
    <row r="69" spans="1:4" x14ac:dyDescent="0.4">
      <c r="A69" s="10" t="s">
        <v>106</v>
      </c>
      <c r="B69" s="10" t="s">
        <v>282</v>
      </c>
      <c r="C69" s="10" t="s">
        <v>165</v>
      </c>
      <c r="D69" s="11" t="s">
        <v>107</v>
      </c>
    </row>
    <row r="70" spans="1:4" x14ac:dyDescent="0.4">
      <c r="A70" s="10" t="s">
        <v>108</v>
      </c>
      <c r="B70" s="10" t="s">
        <v>282</v>
      </c>
      <c r="C70" s="10" t="s">
        <v>165</v>
      </c>
      <c r="D70" s="11" t="s">
        <v>109</v>
      </c>
    </row>
    <row r="71" spans="1:4" x14ac:dyDescent="0.4">
      <c r="A71" s="10" t="s">
        <v>112</v>
      </c>
      <c r="B71" s="10" t="s">
        <v>282</v>
      </c>
      <c r="C71" s="10" t="s">
        <v>165</v>
      </c>
      <c r="D71" s="11" t="s">
        <v>113</v>
      </c>
    </row>
    <row r="72" spans="1:4" x14ac:dyDescent="0.4">
      <c r="A72" s="10" t="s">
        <v>114</v>
      </c>
      <c r="B72" s="10" t="s">
        <v>282</v>
      </c>
      <c r="C72" s="10" t="s">
        <v>165</v>
      </c>
      <c r="D72" s="11" t="s">
        <v>115</v>
      </c>
    </row>
    <row r="73" spans="1:4" x14ac:dyDescent="0.4">
      <c r="A73" s="10" t="s">
        <v>116</v>
      </c>
      <c r="B73" s="10" t="s">
        <v>282</v>
      </c>
      <c r="C73" s="10" t="s">
        <v>165</v>
      </c>
      <c r="D73" s="11" t="s">
        <v>117</v>
      </c>
    </row>
    <row r="74" spans="1:4" x14ac:dyDescent="0.4">
      <c r="A74" s="10" t="s">
        <v>118</v>
      </c>
      <c r="B74" s="10" t="s">
        <v>282</v>
      </c>
      <c r="C74" s="10" t="s">
        <v>165</v>
      </c>
      <c r="D74" s="11" t="s">
        <v>119</v>
      </c>
    </row>
    <row r="75" spans="1:4" x14ac:dyDescent="0.4">
      <c r="A75" s="10" t="s">
        <v>120</v>
      </c>
      <c r="B75" s="10" t="s">
        <v>282</v>
      </c>
      <c r="C75" s="10" t="s">
        <v>165</v>
      </c>
      <c r="D75" s="11" t="s">
        <v>121</v>
      </c>
    </row>
    <row r="76" spans="1:4" x14ac:dyDescent="0.4">
      <c r="A76" s="10" t="s">
        <v>122</v>
      </c>
      <c r="B76" s="10" t="s">
        <v>282</v>
      </c>
      <c r="C76" s="10" t="s">
        <v>165</v>
      </c>
      <c r="D76" s="11" t="s">
        <v>123</v>
      </c>
    </row>
    <row r="77" spans="1:4" x14ac:dyDescent="0.4">
      <c r="A77" s="10" t="s">
        <v>124</v>
      </c>
      <c r="B77" s="10" t="s">
        <v>282</v>
      </c>
      <c r="C77" s="10" t="s">
        <v>165</v>
      </c>
      <c r="D77" s="11" t="s">
        <v>125</v>
      </c>
    </row>
    <row r="78" spans="1:4" x14ac:dyDescent="0.4">
      <c r="A78" s="10" t="s">
        <v>126</v>
      </c>
      <c r="B78" s="10" t="s">
        <v>282</v>
      </c>
      <c r="C78" s="10" t="s">
        <v>165</v>
      </c>
      <c r="D78" s="11" t="s">
        <v>127</v>
      </c>
    </row>
    <row r="79" spans="1:4" x14ac:dyDescent="0.4">
      <c r="A79" s="10" t="s">
        <v>128</v>
      </c>
      <c r="B79" s="10" t="s">
        <v>282</v>
      </c>
      <c r="C79" s="10" t="s">
        <v>165</v>
      </c>
      <c r="D79" s="11" t="s">
        <v>129</v>
      </c>
    </row>
    <row r="80" spans="1:4" x14ac:dyDescent="0.4">
      <c r="A80" s="10" t="s">
        <v>130</v>
      </c>
      <c r="B80" s="10" t="s">
        <v>282</v>
      </c>
      <c r="C80" s="10" t="s">
        <v>165</v>
      </c>
      <c r="D80" s="11" t="s">
        <v>131</v>
      </c>
    </row>
    <row r="81" spans="1:4" x14ac:dyDescent="0.4">
      <c r="A81" s="10" t="s">
        <v>133</v>
      </c>
      <c r="B81" s="10" t="s">
        <v>282</v>
      </c>
      <c r="C81" s="10" t="s">
        <v>165</v>
      </c>
      <c r="D81" s="11" t="s">
        <v>134</v>
      </c>
    </row>
    <row r="82" spans="1:4" x14ac:dyDescent="0.4">
      <c r="A82" s="10" t="s">
        <v>135</v>
      </c>
      <c r="B82" s="10" t="s">
        <v>282</v>
      </c>
      <c r="C82" s="10" t="s">
        <v>165</v>
      </c>
      <c r="D82" s="11" t="s">
        <v>136</v>
      </c>
    </row>
    <row r="83" spans="1:4" x14ac:dyDescent="0.4">
      <c r="A83" s="10" t="s">
        <v>137</v>
      </c>
      <c r="B83" s="10" t="s">
        <v>282</v>
      </c>
      <c r="C83" s="10" t="s">
        <v>165</v>
      </c>
      <c r="D83" s="11" t="s">
        <v>138</v>
      </c>
    </row>
    <row r="84" spans="1:4" x14ac:dyDescent="0.4">
      <c r="A84" s="10" t="s">
        <v>139</v>
      </c>
      <c r="B84" s="10" t="s">
        <v>282</v>
      </c>
      <c r="C84" s="10" t="s">
        <v>165</v>
      </c>
      <c r="D84" s="11" t="s">
        <v>140</v>
      </c>
    </row>
    <row r="85" spans="1:4" x14ac:dyDescent="0.4">
      <c r="A85" s="10" t="s">
        <v>141</v>
      </c>
      <c r="B85" s="10" t="s">
        <v>282</v>
      </c>
      <c r="C85" s="10" t="s">
        <v>165</v>
      </c>
      <c r="D85" s="11" t="s">
        <v>142</v>
      </c>
    </row>
    <row r="86" spans="1:4" x14ac:dyDescent="0.4">
      <c r="A86" s="10" t="s">
        <v>143</v>
      </c>
      <c r="B86" s="10" t="s">
        <v>282</v>
      </c>
      <c r="C86" s="10" t="s">
        <v>165</v>
      </c>
      <c r="D86" s="11" t="s">
        <v>144</v>
      </c>
    </row>
    <row r="87" spans="1:4" x14ac:dyDescent="0.4">
      <c r="A87" s="10" t="s">
        <v>179</v>
      </c>
      <c r="B87" s="10" t="s">
        <v>282</v>
      </c>
      <c r="C87" s="10" t="s">
        <v>165</v>
      </c>
      <c r="D87" s="11" t="s">
        <v>183</v>
      </c>
    </row>
    <row r="88" spans="1:4" x14ac:dyDescent="0.4">
      <c r="A88" s="10" t="s">
        <v>180</v>
      </c>
      <c r="B88" s="10" t="s">
        <v>282</v>
      </c>
      <c r="C88" s="10" t="s">
        <v>165</v>
      </c>
      <c r="D88" s="11" t="s">
        <v>184</v>
      </c>
    </row>
    <row r="89" spans="1:4" x14ac:dyDescent="0.4">
      <c r="A89" s="10" t="s">
        <v>181</v>
      </c>
      <c r="B89" s="10" t="s">
        <v>282</v>
      </c>
      <c r="C89" s="10" t="s">
        <v>165</v>
      </c>
      <c r="D89" s="11" t="s">
        <v>185</v>
      </c>
    </row>
    <row r="90" spans="1:4" x14ac:dyDescent="0.4">
      <c r="A90" s="10" t="s">
        <v>182</v>
      </c>
      <c r="B90" s="10" t="s">
        <v>282</v>
      </c>
      <c r="C90" s="10" t="s">
        <v>165</v>
      </c>
      <c r="D90" s="11" t="s">
        <v>186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25642-8D54-42CD-8DBF-4B4984E38AE2}">
  <dimension ref="A1:D89"/>
  <sheetViews>
    <sheetView tabSelected="1" workbookViewId="0">
      <selection activeCell="G12" sqref="G12"/>
    </sheetView>
  </sheetViews>
  <sheetFormatPr defaultRowHeight="14.6" x14ac:dyDescent="0.4"/>
  <cols>
    <col min="1" max="1" width="6.3828125" customWidth="1"/>
    <col min="2" max="2" width="10.4609375" customWidth="1"/>
    <col min="3" max="3" width="9.07421875" customWidth="1"/>
    <col min="4" max="4" width="12.15234375" customWidth="1"/>
  </cols>
  <sheetData>
    <row r="1" spans="1:4" x14ac:dyDescent="0.4">
      <c r="A1" s="34" t="s">
        <v>296</v>
      </c>
      <c r="B1" s="34" t="s">
        <v>297</v>
      </c>
      <c r="C1" s="34" t="s">
        <v>298</v>
      </c>
      <c r="D1" s="34" t="s">
        <v>299</v>
      </c>
    </row>
    <row r="2" spans="1:4" x14ac:dyDescent="0.4">
      <c r="A2" t="s">
        <v>4</v>
      </c>
      <c r="B2" t="s">
        <v>4</v>
      </c>
      <c r="C2" t="s">
        <v>230</v>
      </c>
      <c r="D2">
        <v>1</v>
      </c>
    </row>
    <row r="3" spans="1:4" x14ac:dyDescent="0.4">
      <c r="A3" t="s">
        <v>4</v>
      </c>
      <c r="B3" t="s">
        <v>230</v>
      </c>
      <c r="C3" t="s">
        <v>233</v>
      </c>
      <c r="D3">
        <v>1</v>
      </c>
    </row>
    <row r="4" spans="1:4" x14ac:dyDescent="0.4">
      <c r="A4" t="s">
        <v>4</v>
      </c>
      <c r="B4" t="s">
        <v>233</v>
      </c>
      <c r="C4" t="s">
        <v>235</v>
      </c>
      <c r="D4">
        <v>1</v>
      </c>
    </row>
    <row r="5" spans="1:4" x14ac:dyDescent="0.4">
      <c r="A5" t="s">
        <v>4</v>
      </c>
      <c r="B5" t="s">
        <v>235</v>
      </c>
      <c r="C5" t="s">
        <v>2</v>
      </c>
      <c r="D5">
        <v>1</v>
      </c>
    </row>
    <row r="6" spans="1:4" x14ac:dyDescent="0.4">
      <c r="A6" t="s">
        <v>4</v>
      </c>
      <c r="B6" t="s">
        <v>235</v>
      </c>
      <c r="C6" t="s">
        <v>6</v>
      </c>
      <c r="D6">
        <v>2</v>
      </c>
    </row>
    <row r="7" spans="1:4" x14ac:dyDescent="0.4">
      <c r="A7" t="s">
        <v>4</v>
      </c>
      <c r="B7" t="s">
        <v>235</v>
      </c>
      <c r="C7" t="s">
        <v>9</v>
      </c>
      <c r="D7">
        <v>3</v>
      </c>
    </row>
    <row r="8" spans="1:4" x14ac:dyDescent="0.4">
      <c r="A8" t="s">
        <v>4</v>
      </c>
      <c r="B8" t="s">
        <v>235</v>
      </c>
      <c r="C8" t="s">
        <v>11</v>
      </c>
      <c r="D8">
        <v>4</v>
      </c>
    </row>
    <row r="9" spans="1:4" x14ac:dyDescent="0.4">
      <c r="A9" t="s">
        <v>4</v>
      </c>
      <c r="B9" t="s">
        <v>233</v>
      </c>
      <c r="C9" t="s">
        <v>237</v>
      </c>
      <c r="D9">
        <v>2</v>
      </c>
    </row>
    <row r="10" spans="1:4" x14ac:dyDescent="0.4">
      <c r="A10" t="s">
        <v>4</v>
      </c>
      <c r="B10" t="s">
        <v>237</v>
      </c>
      <c r="C10" t="s">
        <v>14</v>
      </c>
      <c r="D10">
        <v>1</v>
      </c>
    </row>
    <row r="11" spans="1:4" x14ac:dyDescent="0.4">
      <c r="A11" t="s">
        <v>4</v>
      </c>
      <c r="B11" t="s">
        <v>237</v>
      </c>
      <c r="C11" t="s">
        <v>18</v>
      </c>
      <c r="D11">
        <v>2</v>
      </c>
    </row>
    <row r="12" spans="1:4" x14ac:dyDescent="0.4">
      <c r="A12" t="s">
        <v>4</v>
      </c>
      <c r="B12" t="s">
        <v>237</v>
      </c>
      <c r="C12" t="s">
        <v>20</v>
      </c>
      <c r="D12">
        <v>3</v>
      </c>
    </row>
    <row r="13" spans="1:4" x14ac:dyDescent="0.4">
      <c r="A13" t="s">
        <v>4</v>
      </c>
      <c r="B13" t="s">
        <v>233</v>
      </c>
      <c r="C13" t="s">
        <v>239</v>
      </c>
      <c r="D13">
        <v>3</v>
      </c>
    </row>
    <row r="14" spans="1:4" x14ac:dyDescent="0.4">
      <c r="A14" t="s">
        <v>4</v>
      </c>
      <c r="B14" t="s">
        <v>239</v>
      </c>
      <c r="C14" t="s">
        <v>24</v>
      </c>
      <c r="D14">
        <v>1</v>
      </c>
    </row>
    <row r="15" spans="1:4" x14ac:dyDescent="0.4">
      <c r="A15" t="s">
        <v>4</v>
      </c>
      <c r="B15" t="s">
        <v>239</v>
      </c>
      <c r="C15" t="s">
        <v>26</v>
      </c>
      <c r="D15">
        <v>2</v>
      </c>
    </row>
    <row r="16" spans="1:4" x14ac:dyDescent="0.4">
      <c r="A16" t="s">
        <v>4</v>
      </c>
      <c r="B16" t="s">
        <v>230</v>
      </c>
      <c r="C16" t="s">
        <v>241</v>
      </c>
      <c r="D16">
        <v>2</v>
      </c>
    </row>
    <row r="17" spans="1:4" x14ac:dyDescent="0.4">
      <c r="A17" t="s">
        <v>4</v>
      </c>
      <c r="B17" t="s">
        <v>241</v>
      </c>
      <c r="C17" t="s">
        <v>32</v>
      </c>
      <c r="D17">
        <v>1</v>
      </c>
    </row>
    <row r="18" spans="1:4" x14ac:dyDescent="0.4">
      <c r="A18" t="s">
        <v>4</v>
      </c>
      <c r="B18" t="s">
        <v>241</v>
      </c>
      <c r="C18" t="s">
        <v>34</v>
      </c>
      <c r="D18">
        <v>2</v>
      </c>
    </row>
    <row r="19" spans="1:4" x14ac:dyDescent="0.4">
      <c r="A19" t="s">
        <v>4</v>
      </c>
      <c r="B19" t="s">
        <v>230</v>
      </c>
      <c r="C19" t="s">
        <v>243</v>
      </c>
      <c r="D19">
        <v>3</v>
      </c>
    </row>
    <row r="20" spans="1:4" x14ac:dyDescent="0.4">
      <c r="A20" t="s">
        <v>4</v>
      </c>
      <c r="B20" t="s">
        <v>243</v>
      </c>
      <c r="C20" t="s">
        <v>37</v>
      </c>
      <c r="D20">
        <v>1</v>
      </c>
    </row>
    <row r="21" spans="1:4" x14ac:dyDescent="0.4">
      <c r="A21" t="s">
        <v>4</v>
      </c>
      <c r="B21" t="s">
        <v>243</v>
      </c>
      <c r="C21" t="s">
        <v>39</v>
      </c>
      <c r="D21">
        <v>2</v>
      </c>
    </row>
    <row r="22" spans="1:4" x14ac:dyDescent="0.4">
      <c r="A22" t="s">
        <v>4</v>
      </c>
      <c r="B22" t="s">
        <v>243</v>
      </c>
      <c r="C22" t="s">
        <v>41</v>
      </c>
      <c r="D22">
        <v>3</v>
      </c>
    </row>
    <row r="23" spans="1:4" x14ac:dyDescent="0.4">
      <c r="A23" t="s">
        <v>4</v>
      </c>
      <c r="B23" t="s">
        <v>243</v>
      </c>
      <c r="C23" t="s">
        <v>43</v>
      </c>
      <c r="D23">
        <v>4</v>
      </c>
    </row>
    <row r="24" spans="1:4" x14ac:dyDescent="0.4">
      <c r="A24" t="s">
        <v>4</v>
      </c>
      <c r="B24" t="s">
        <v>243</v>
      </c>
      <c r="C24" t="s">
        <v>45</v>
      </c>
      <c r="D24">
        <v>5</v>
      </c>
    </row>
    <row r="25" spans="1:4" x14ac:dyDescent="0.4">
      <c r="A25" t="s">
        <v>4</v>
      </c>
      <c r="B25" t="s">
        <v>243</v>
      </c>
      <c r="C25" t="s">
        <v>181</v>
      </c>
      <c r="D25">
        <v>6</v>
      </c>
    </row>
    <row r="26" spans="1:4" x14ac:dyDescent="0.4">
      <c r="A26" t="s">
        <v>4</v>
      </c>
      <c r="B26" t="s">
        <v>4</v>
      </c>
      <c r="C26" t="s">
        <v>245</v>
      </c>
      <c r="D26">
        <v>2</v>
      </c>
    </row>
    <row r="27" spans="1:4" x14ac:dyDescent="0.4">
      <c r="A27" t="s">
        <v>4</v>
      </c>
      <c r="B27" t="s">
        <v>245</v>
      </c>
      <c r="C27" t="s">
        <v>247</v>
      </c>
      <c r="D27">
        <v>1</v>
      </c>
    </row>
    <row r="28" spans="1:4" x14ac:dyDescent="0.4">
      <c r="A28" t="s">
        <v>4</v>
      </c>
      <c r="B28" t="s">
        <v>247</v>
      </c>
      <c r="C28" t="s">
        <v>28</v>
      </c>
      <c r="D28">
        <v>1</v>
      </c>
    </row>
    <row r="29" spans="1:4" x14ac:dyDescent="0.4">
      <c r="A29" t="s">
        <v>4</v>
      </c>
      <c r="B29" t="s">
        <v>247</v>
      </c>
      <c r="C29" t="s">
        <v>30</v>
      </c>
      <c r="D29">
        <v>2</v>
      </c>
    </row>
    <row r="30" spans="1:4" x14ac:dyDescent="0.4">
      <c r="A30" t="s">
        <v>4</v>
      </c>
      <c r="B30" t="s">
        <v>245</v>
      </c>
      <c r="C30" t="s">
        <v>179</v>
      </c>
      <c r="D30">
        <v>2</v>
      </c>
    </row>
    <row r="31" spans="1:4" x14ac:dyDescent="0.4">
      <c r="A31" t="s">
        <v>4</v>
      </c>
      <c r="B31" t="s">
        <v>245</v>
      </c>
      <c r="C31" t="s">
        <v>249</v>
      </c>
      <c r="D31">
        <v>3</v>
      </c>
    </row>
    <row r="32" spans="1:4" x14ac:dyDescent="0.4">
      <c r="A32" t="s">
        <v>4</v>
      </c>
      <c r="B32" t="s">
        <v>249</v>
      </c>
      <c r="C32" t="s">
        <v>182</v>
      </c>
      <c r="D32">
        <v>1</v>
      </c>
    </row>
    <row r="33" spans="1:4" x14ac:dyDescent="0.4">
      <c r="A33" t="s">
        <v>4</v>
      </c>
      <c r="B33" t="s">
        <v>249</v>
      </c>
      <c r="C33" t="s">
        <v>43</v>
      </c>
      <c r="D33">
        <v>2</v>
      </c>
    </row>
    <row r="34" spans="1:4" x14ac:dyDescent="0.4">
      <c r="A34" t="s">
        <v>4</v>
      </c>
      <c r="B34" t="s">
        <v>249</v>
      </c>
      <c r="C34" t="s">
        <v>45</v>
      </c>
      <c r="D34">
        <v>3</v>
      </c>
    </row>
    <row r="35" spans="1:4" x14ac:dyDescent="0.4">
      <c r="A35" t="s">
        <v>49</v>
      </c>
      <c r="B35" t="s">
        <v>49</v>
      </c>
      <c r="C35" t="s">
        <v>252</v>
      </c>
      <c r="D35">
        <v>1</v>
      </c>
    </row>
    <row r="36" spans="1:4" x14ac:dyDescent="0.4">
      <c r="A36" t="s">
        <v>49</v>
      </c>
      <c r="B36" t="s">
        <v>252</v>
      </c>
      <c r="C36" t="s">
        <v>47</v>
      </c>
      <c r="D36">
        <v>1</v>
      </c>
    </row>
    <row r="37" spans="1:4" x14ac:dyDescent="0.4">
      <c r="A37" t="s">
        <v>49</v>
      </c>
      <c r="B37" t="s">
        <v>252</v>
      </c>
      <c r="C37" t="s">
        <v>51</v>
      </c>
      <c r="D37">
        <v>2</v>
      </c>
    </row>
    <row r="38" spans="1:4" x14ac:dyDescent="0.4">
      <c r="A38" t="s">
        <v>49</v>
      </c>
      <c r="B38" t="s">
        <v>252</v>
      </c>
      <c r="C38" t="s">
        <v>54</v>
      </c>
      <c r="D38">
        <v>3</v>
      </c>
    </row>
    <row r="39" spans="1:4" x14ac:dyDescent="0.4">
      <c r="A39" t="s">
        <v>49</v>
      </c>
      <c r="B39" t="s">
        <v>252</v>
      </c>
      <c r="C39" t="s">
        <v>57</v>
      </c>
      <c r="D39">
        <v>4</v>
      </c>
    </row>
    <row r="40" spans="1:4" x14ac:dyDescent="0.4">
      <c r="A40" t="s">
        <v>49</v>
      </c>
      <c r="B40" t="s">
        <v>252</v>
      </c>
      <c r="C40" t="s">
        <v>59</v>
      </c>
      <c r="D40">
        <v>5</v>
      </c>
    </row>
    <row r="41" spans="1:4" x14ac:dyDescent="0.4">
      <c r="A41" t="s">
        <v>49</v>
      </c>
      <c r="B41" t="s">
        <v>49</v>
      </c>
      <c r="C41" t="s">
        <v>254</v>
      </c>
      <c r="D41">
        <v>2</v>
      </c>
    </row>
    <row r="42" spans="1:4" x14ac:dyDescent="0.4">
      <c r="A42" t="s">
        <v>49</v>
      </c>
      <c r="B42" t="s">
        <v>254</v>
      </c>
      <c r="C42" t="s">
        <v>61</v>
      </c>
      <c r="D42">
        <v>1</v>
      </c>
    </row>
    <row r="43" spans="1:4" x14ac:dyDescent="0.4">
      <c r="A43" t="s">
        <v>49</v>
      </c>
      <c r="B43" t="s">
        <v>254</v>
      </c>
      <c r="C43" t="s">
        <v>64</v>
      </c>
      <c r="D43">
        <v>2</v>
      </c>
    </row>
    <row r="44" spans="1:4" x14ac:dyDescent="0.4">
      <c r="A44" t="s">
        <v>49</v>
      </c>
      <c r="B44" t="s">
        <v>254</v>
      </c>
      <c r="C44" t="s">
        <v>66</v>
      </c>
      <c r="D44">
        <v>3</v>
      </c>
    </row>
    <row r="45" spans="1:4" x14ac:dyDescent="0.4">
      <c r="A45" t="s">
        <v>49</v>
      </c>
      <c r="B45" t="s">
        <v>49</v>
      </c>
      <c r="C45" t="s">
        <v>256</v>
      </c>
      <c r="D45">
        <v>3</v>
      </c>
    </row>
    <row r="46" spans="1:4" x14ac:dyDescent="0.4">
      <c r="A46" t="s">
        <v>49</v>
      </c>
      <c r="B46" t="s">
        <v>256</v>
      </c>
      <c r="C46" t="s">
        <v>68</v>
      </c>
      <c r="D46">
        <v>1</v>
      </c>
    </row>
    <row r="47" spans="1:4" x14ac:dyDescent="0.4">
      <c r="A47" t="s">
        <v>49</v>
      </c>
      <c r="B47" t="s">
        <v>256</v>
      </c>
      <c r="C47" t="s">
        <v>70</v>
      </c>
      <c r="D47">
        <v>2</v>
      </c>
    </row>
    <row r="48" spans="1:4" x14ac:dyDescent="0.4">
      <c r="A48" t="s">
        <v>49</v>
      </c>
      <c r="B48" t="s">
        <v>256</v>
      </c>
      <c r="C48" t="s">
        <v>74</v>
      </c>
      <c r="D48">
        <v>3</v>
      </c>
    </row>
    <row r="49" spans="1:4" x14ac:dyDescent="0.4">
      <c r="A49" t="s">
        <v>49</v>
      </c>
      <c r="B49" t="s">
        <v>256</v>
      </c>
      <c r="C49" t="s">
        <v>76</v>
      </c>
      <c r="D49">
        <v>4</v>
      </c>
    </row>
    <row r="50" spans="1:4" x14ac:dyDescent="0.4">
      <c r="A50" t="s">
        <v>49</v>
      </c>
      <c r="B50" t="s">
        <v>256</v>
      </c>
      <c r="C50" t="s">
        <v>79</v>
      </c>
      <c r="D50">
        <v>5</v>
      </c>
    </row>
    <row r="51" spans="1:4" x14ac:dyDescent="0.4">
      <c r="A51" t="s">
        <v>84</v>
      </c>
      <c r="B51" t="s">
        <v>84</v>
      </c>
      <c r="C51" t="s">
        <v>259</v>
      </c>
      <c r="D51">
        <v>1</v>
      </c>
    </row>
    <row r="52" spans="1:4" x14ac:dyDescent="0.4">
      <c r="A52" t="s">
        <v>84</v>
      </c>
      <c r="B52" t="s">
        <v>259</v>
      </c>
      <c r="C52" t="s">
        <v>261</v>
      </c>
      <c r="D52">
        <v>1</v>
      </c>
    </row>
    <row r="53" spans="1:4" x14ac:dyDescent="0.4">
      <c r="A53" t="s">
        <v>84</v>
      </c>
      <c r="B53" t="s">
        <v>261</v>
      </c>
      <c r="C53" t="s">
        <v>82</v>
      </c>
      <c r="D53">
        <v>1</v>
      </c>
    </row>
    <row r="54" spans="1:4" x14ac:dyDescent="0.4">
      <c r="A54" t="s">
        <v>84</v>
      </c>
      <c r="B54" t="s">
        <v>261</v>
      </c>
      <c r="C54" t="s">
        <v>85</v>
      </c>
      <c r="D54">
        <v>2</v>
      </c>
    </row>
    <row r="55" spans="1:4" x14ac:dyDescent="0.4">
      <c r="A55" t="s">
        <v>84</v>
      </c>
      <c r="B55" t="s">
        <v>261</v>
      </c>
      <c r="C55" t="s">
        <v>87</v>
      </c>
      <c r="D55">
        <v>3</v>
      </c>
    </row>
    <row r="56" spans="1:4" x14ac:dyDescent="0.4">
      <c r="A56" t="s">
        <v>84</v>
      </c>
      <c r="B56" t="s">
        <v>261</v>
      </c>
      <c r="C56" t="s">
        <v>89</v>
      </c>
      <c r="D56">
        <v>4</v>
      </c>
    </row>
    <row r="57" spans="1:4" x14ac:dyDescent="0.4">
      <c r="A57" t="s">
        <v>84</v>
      </c>
      <c r="B57" t="s">
        <v>261</v>
      </c>
      <c r="C57" t="s">
        <v>91</v>
      </c>
      <c r="D57">
        <v>5</v>
      </c>
    </row>
    <row r="58" spans="1:4" x14ac:dyDescent="0.4">
      <c r="A58" t="s">
        <v>84</v>
      </c>
      <c r="B58" t="s">
        <v>259</v>
      </c>
      <c r="C58" t="s">
        <v>263</v>
      </c>
      <c r="D58">
        <v>2</v>
      </c>
    </row>
    <row r="59" spans="1:4" x14ac:dyDescent="0.4">
      <c r="A59" t="s">
        <v>84</v>
      </c>
      <c r="B59" t="s">
        <v>263</v>
      </c>
      <c r="C59" t="s">
        <v>93</v>
      </c>
      <c r="D59">
        <v>1</v>
      </c>
    </row>
    <row r="60" spans="1:4" x14ac:dyDescent="0.4">
      <c r="A60" t="s">
        <v>84</v>
      </c>
      <c r="B60" t="s">
        <v>263</v>
      </c>
      <c r="C60" t="s">
        <v>96</v>
      </c>
      <c r="D60">
        <v>2</v>
      </c>
    </row>
    <row r="61" spans="1:4" x14ac:dyDescent="0.4">
      <c r="A61" t="s">
        <v>84</v>
      </c>
      <c r="B61" t="s">
        <v>263</v>
      </c>
      <c r="C61" t="s">
        <v>98</v>
      </c>
      <c r="D61">
        <v>3</v>
      </c>
    </row>
    <row r="62" spans="1:4" x14ac:dyDescent="0.4">
      <c r="A62" t="s">
        <v>84</v>
      </c>
      <c r="B62" t="s">
        <v>263</v>
      </c>
      <c r="C62" t="s">
        <v>100</v>
      </c>
      <c r="D62">
        <v>4</v>
      </c>
    </row>
    <row r="63" spans="1:4" x14ac:dyDescent="0.4">
      <c r="A63" t="s">
        <v>84</v>
      </c>
      <c r="B63" t="s">
        <v>84</v>
      </c>
      <c r="C63" t="s">
        <v>265</v>
      </c>
      <c r="D63">
        <v>2</v>
      </c>
    </row>
    <row r="64" spans="1:4" x14ac:dyDescent="0.4">
      <c r="A64" t="s">
        <v>84</v>
      </c>
      <c r="B64" t="s">
        <v>265</v>
      </c>
      <c r="C64" t="s">
        <v>70</v>
      </c>
      <c r="D64">
        <v>1</v>
      </c>
    </row>
    <row r="65" spans="1:4" x14ac:dyDescent="0.4">
      <c r="A65" t="s">
        <v>84</v>
      </c>
      <c r="B65" t="s">
        <v>265</v>
      </c>
      <c r="C65" t="s">
        <v>74</v>
      </c>
      <c r="D65">
        <v>2</v>
      </c>
    </row>
    <row r="66" spans="1:4" x14ac:dyDescent="0.4">
      <c r="A66" t="s">
        <v>84</v>
      </c>
      <c r="B66" t="s">
        <v>265</v>
      </c>
      <c r="C66" t="s">
        <v>102</v>
      </c>
      <c r="D66">
        <v>3</v>
      </c>
    </row>
    <row r="67" spans="1:4" x14ac:dyDescent="0.4">
      <c r="A67" t="s">
        <v>84</v>
      </c>
      <c r="B67" t="s">
        <v>265</v>
      </c>
      <c r="C67" t="s">
        <v>104</v>
      </c>
      <c r="D67">
        <v>4</v>
      </c>
    </row>
    <row r="68" spans="1:4" x14ac:dyDescent="0.4">
      <c r="A68" t="s">
        <v>84</v>
      </c>
      <c r="B68" t="s">
        <v>265</v>
      </c>
      <c r="C68" t="s">
        <v>106</v>
      </c>
      <c r="D68">
        <v>5</v>
      </c>
    </row>
    <row r="69" spans="1:4" x14ac:dyDescent="0.4">
      <c r="A69" t="s">
        <v>110</v>
      </c>
      <c r="B69" t="s">
        <v>110</v>
      </c>
      <c r="C69" t="s">
        <v>268</v>
      </c>
      <c r="D69">
        <v>1</v>
      </c>
    </row>
    <row r="70" spans="1:4" x14ac:dyDescent="0.4">
      <c r="A70" t="s">
        <v>110</v>
      </c>
      <c r="B70" t="s">
        <v>268</v>
      </c>
      <c r="C70" t="s">
        <v>108</v>
      </c>
      <c r="D70">
        <v>1</v>
      </c>
    </row>
    <row r="71" spans="1:4" x14ac:dyDescent="0.4">
      <c r="A71" t="s">
        <v>110</v>
      </c>
      <c r="B71" t="s">
        <v>268</v>
      </c>
      <c r="C71" t="s">
        <v>112</v>
      </c>
      <c r="D71">
        <v>2</v>
      </c>
    </row>
    <row r="72" spans="1:4" x14ac:dyDescent="0.4">
      <c r="A72" t="s">
        <v>110</v>
      </c>
      <c r="B72" t="s">
        <v>268</v>
      </c>
      <c r="C72" t="s">
        <v>114</v>
      </c>
      <c r="D72">
        <v>3</v>
      </c>
    </row>
    <row r="73" spans="1:4" x14ac:dyDescent="0.4">
      <c r="A73" t="s">
        <v>110</v>
      </c>
      <c r="B73" t="s">
        <v>268</v>
      </c>
      <c r="C73" t="s">
        <v>116</v>
      </c>
      <c r="D73">
        <v>4</v>
      </c>
    </row>
    <row r="74" spans="1:4" x14ac:dyDescent="0.4">
      <c r="A74" t="s">
        <v>110</v>
      </c>
      <c r="B74" t="s">
        <v>268</v>
      </c>
      <c r="C74" t="s">
        <v>118</v>
      </c>
      <c r="D74">
        <v>5</v>
      </c>
    </row>
    <row r="75" spans="1:4" x14ac:dyDescent="0.4">
      <c r="A75" t="s">
        <v>110</v>
      </c>
      <c r="B75" t="s">
        <v>110</v>
      </c>
      <c r="C75" t="s">
        <v>270</v>
      </c>
      <c r="D75">
        <v>2</v>
      </c>
    </row>
    <row r="76" spans="1:4" x14ac:dyDescent="0.4">
      <c r="A76" t="s">
        <v>110</v>
      </c>
      <c r="B76" t="s">
        <v>270</v>
      </c>
      <c r="C76" t="s">
        <v>120</v>
      </c>
      <c r="D76">
        <v>1</v>
      </c>
    </row>
    <row r="77" spans="1:4" x14ac:dyDescent="0.4">
      <c r="A77" t="s">
        <v>110</v>
      </c>
      <c r="B77" t="s">
        <v>270</v>
      </c>
      <c r="C77" t="s">
        <v>122</v>
      </c>
      <c r="D77">
        <v>2</v>
      </c>
    </row>
    <row r="78" spans="1:4" x14ac:dyDescent="0.4">
      <c r="A78" t="s">
        <v>110</v>
      </c>
      <c r="B78" t="s">
        <v>270</v>
      </c>
      <c r="C78" t="s">
        <v>124</v>
      </c>
      <c r="D78">
        <v>3</v>
      </c>
    </row>
    <row r="79" spans="1:4" x14ac:dyDescent="0.4">
      <c r="A79" t="s">
        <v>110</v>
      </c>
      <c r="B79" t="s">
        <v>110</v>
      </c>
      <c r="C79" t="s">
        <v>272</v>
      </c>
      <c r="D79">
        <v>3</v>
      </c>
    </row>
    <row r="80" spans="1:4" x14ac:dyDescent="0.4">
      <c r="A80" t="s">
        <v>110</v>
      </c>
      <c r="B80" t="s">
        <v>272</v>
      </c>
      <c r="C80" t="s">
        <v>126</v>
      </c>
      <c r="D80">
        <v>1</v>
      </c>
    </row>
    <row r="81" spans="1:4" x14ac:dyDescent="0.4">
      <c r="A81" t="s">
        <v>110</v>
      </c>
      <c r="B81" t="s">
        <v>272</v>
      </c>
      <c r="C81" t="s">
        <v>128</v>
      </c>
      <c r="D81">
        <v>2</v>
      </c>
    </row>
    <row r="82" spans="1:4" x14ac:dyDescent="0.4">
      <c r="A82" t="s">
        <v>110</v>
      </c>
      <c r="B82" t="s">
        <v>272</v>
      </c>
      <c r="C82" t="s">
        <v>130</v>
      </c>
      <c r="D82">
        <v>3</v>
      </c>
    </row>
    <row r="83" spans="1:4" x14ac:dyDescent="0.4">
      <c r="A83" t="s">
        <v>110</v>
      </c>
      <c r="B83" t="s">
        <v>272</v>
      </c>
      <c r="C83" t="s">
        <v>133</v>
      </c>
      <c r="D83">
        <v>4</v>
      </c>
    </row>
    <row r="84" spans="1:4" x14ac:dyDescent="0.4">
      <c r="A84" t="s">
        <v>110</v>
      </c>
      <c r="B84" t="s">
        <v>110</v>
      </c>
      <c r="C84" t="s">
        <v>274</v>
      </c>
      <c r="D84">
        <v>4</v>
      </c>
    </row>
    <row r="85" spans="1:4" x14ac:dyDescent="0.4">
      <c r="A85" t="s">
        <v>110</v>
      </c>
      <c r="B85" t="s">
        <v>274</v>
      </c>
      <c r="C85" t="s">
        <v>135</v>
      </c>
      <c r="D85">
        <v>1</v>
      </c>
    </row>
    <row r="86" spans="1:4" x14ac:dyDescent="0.4">
      <c r="A86" t="s">
        <v>110</v>
      </c>
      <c r="B86" t="s">
        <v>274</v>
      </c>
      <c r="C86" t="s">
        <v>137</v>
      </c>
      <c r="D86">
        <v>2</v>
      </c>
    </row>
    <row r="87" spans="1:4" x14ac:dyDescent="0.4">
      <c r="A87" t="s">
        <v>110</v>
      </c>
      <c r="B87" t="s">
        <v>274</v>
      </c>
      <c r="C87" t="s">
        <v>139</v>
      </c>
      <c r="D87">
        <v>3</v>
      </c>
    </row>
    <row r="88" spans="1:4" x14ac:dyDescent="0.4">
      <c r="A88" t="s">
        <v>110</v>
      </c>
      <c r="B88" t="s">
        <v>274</v>
      </c>
      <c r="C88" t="s">
        <v>141</v>
      </c>
      <c r="D88">
        <v>4</v>
      </c>
    </row>
    <row r="89" spans="1:4" x14ac:dyDescent="0.4">
      <c r="A89" t="s">
        <v>110</v>
      </c>
      <c r="B89" t="s">
        <v>274</v>
      </c>
      <c r="C89" t="s">
        <v>143</v>
      </c>
      <c r="D89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8D68F-F7E0-40B2-9CB6-F24877DF0932}">
  <dimension ref="A1:Z66"/>
  <sheetViews>
    <sheetView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23" sqref="D23"/>
    </sheetView>
  </sheetViews>
  <sheetFormatPr defaultRowHeight="14.6" x14ac:dyDescent="0.4"/>
  <cols>
    <col min="1" max="1" width="9.3828125" customWidth="1"/>
    <col min="2" max="2" width="52.765625" bestFit="1" customWidth="1"/>
    <col min="3" max="3" width="12.15234375" bestFit="1" customWidth="1"/>
    <col min="4" max="4" width="9.921875" bestFit="1" customWidth="1"/>
    <col min="5" max="7" width="11.921875" customWidth="1"/>
    <col min="8" max="8" width="17.15234375" bestFit="1" customWidth="1"/>
    <col min="9" max="9" width="16.53515625" customWidth="1"/>
    <col min="10" max="11" width="20.3046875" customWidth="1"/>
    <col min="12" max="15" width="16.921875" customWidth="1"/>
    <col min="16" max="17" width="14.84375" customWidth="1"/>
    <col min="18" max="18" width="26.4609375" bestFit="1" customWidth="1"/>
    <col min="19" max="20" width="19.23046875" customWidth="1"/>
    <col min="21" max="21" width="31.23046875" bestFit="1" customWidth="1"/>
    <col min="22" max="23" width="15.921875" customWidth="1"/>
    <col min="24" max="24" width="22.53515625" bestFit="1" customWidth="1"/>
    <col min="25" max="25" width="27.23046875" bestFit="1" customWidth="1"/>
    <col min="26" max="26" width="25.15234375" bestFit="1" customWidth="1"/>
  </cols>
  <sheetData>
    <row r="1" spans="1:26" x14ac:dyDescent="0.4">
      <c r="A1" s="1" t="s">
        <v>0</v>
      </c>
      <c r="B1" s="1" t="s">
        <v>170</v>
      </c>
      <c r="C1" s="1" t="s">
        <v>169</v>
      </c>
      <c r="D1" s="1" t="s">
        <v>168</v>
      </c>
      <c r="E1" s="1" t="s">
        <v>1</v>
      </c>
      <c r="F1" s="1" t="s">
        <v>177</v>
      </c>
      <c r="G1" s="1" t="s">
        <v>178</v>
      </c>
      <c r="H1" s="1" t="s">
        <v>220</v>
      </c>
      <c r="I1" s="1" t="s">
        <v>203</v>
      </c>
      <c r="J1" s="1" t="s">
        <v>206</v>
      </c>
      <c r="K1" s="1" t="s">
        <v>204</v>
      </c>
      <c r="L1" s="1" t="s">
        <v>173</v>
      </c>
      <c r="M1" s="1" t="s">
        <v>207</v>
      </c>
      <c r="N1" s="1" t="s">
        <v>208</v>
      </c>
      <c r="O1" s="1" t="s">
        <v>215</v>
      </c>
      <c r="P1" s="1" t="s">
        <v>145</v>
      </c>
      <c r="Q1" s="1" t="s">
        <v>287</v>
      </c>
      <c r="R1" s="1" t="s">
        <v>290</v>
      </c>
      <c r="S1" s="1" t="s">
        <v>146</v>
      </c>
      <c r="T1" s="1" t="s">
        <v>288</v>
      </c>
      <c r="U1" s="1" t="s">
        <v>291</v>
      </c>
      <c r="V1" s="1" t="s">
        <v>147</v>
      </c>
      <c r="W1" s="1" t="s">
        <v>289</v>
      </c>
      <c r="X1" s="1" t="s">
        <v>292</v>
      </c>
      <c r="Y1" s="1" t="s">
        <v>148</v>
      </c>
      <c r="Z1" s="1" t="s">
        <v>295</v>
      </c>
    </row>
    <row r="2" spans="1:26" x14ac:dyDescent="0.4">
      <c r="A2" t="s">
        <v>2</v>
      </c>
      <c r="B2" t="s">
        <v>3</v>
      </c>
      <c r="C2" t="s">
        <v>163</v>
      </c>
      <c r="D2" t="s">
        <v>4</v>
      </c>
      <c r="E2" t="s">
        <v>5</v>
      </c>
      <c r="F2">
        <f>LEN(Attack_Leaf_Matrix[[#This Row],[Attack Trees]]) - LEN(SUBSTITUTE(Attack_Leaf_Matrix[[#This Row],[Attack Trees]], ",", "")) +1</f>
        <v>1</v>
      </c>
      <c r="G2">
        <f>LEN(Attack_Leaf_Matrix[[#This Row],[Risk classes]]) - LEN(SUBSTITUTE(Attack_Leaf_Matrix[[#This Row],[Risk classes]], ",", "")) +1</f>
        <v>1</v>
      </c>
      <c r="H2" t="s">
        <v>165</v>
      </c>
      <c r="I2" t="s">
        <v>174</v>
      </c>
      <c r="J2" t="s">
        <v>172</v>
      </c>
      <c r="K2" t="s">
        <v>172</v>
      </c>
      <c r="L2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>5</v>
      </c>
      <c r="M2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>2</v>
      </c>
      <c r="N2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>2</v>
      </c>
      <c r="O2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2</v>
      </c>
      <c r="P2" t="s">
        <v>223</v>
      </c>
      <c r="Q2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2</v>
      </c>
      <c r="R2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2</v>
      </c>
      <c r="S2" t="s">
        <v>223</v>
      </c>
      <c r="T2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2</v>
      </c>
      <c r="U2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2</v>
      </c>
      <c r="V2" t="s">
        <v>223</v>
      </c>
      <c r="W2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2</v>
      </c>
      <c r="X2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2</v>
      </c>
    </row>
    <row r="3" spans="1:26" x14ac:dyDescent="0.4">
      <c r="A3" t="s">
        <v>6</v>
      </c>
      <c r="B3" t="s">
        <v>7</v>
      </c>
      <c r="C3" t="s">
        <v>163</v>
      </c>
      <c r="D3" t="s">
        <v>4</v>
      </c>
      <c r="E3" t="s">
        <v>8</v>
      </c>
      <c r="F3">
        <f>LEN(Attack_Leaf_Matrix[[#This Row],[Attack Trees]]) - LEN(SUBSTITUTE(Attack_Leaf_Matrix[[#This Row],[Attack Trees]], ",", "")) +1</f>
        <v>1</v>
      </c>
      <c r="G3">
        <f>LEN(Attack_Leaf_Matrix[[#This Row],[Risk classes]]) - LEN(SUBSTITUTE(Attack_Leaf_Matrix[[#This Row],[Risk classes]], ",", "")) +1</f>
        <v>2</v>
      </c>
      <c r="H3" t="s">
        <v>165</v>
      </c>
      <c r="I3" t="s">
        <v>174</v>
      </c>
      <c r="J3" t="s">
        <v>174</v>
      </c>
      <c r="K3" t="s">
        <v>171</v>
      </c>
      <c r="L3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>5</v>
      </c>
      <c r="M3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>5</v>
      </c>
      <c r="N3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>5</v>
      </c>
      <c r="O3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8</v>
      </c>
      <c r="P3" t="s">
        <v>223</v>
      </c>
      <c r="Q3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5</v>
      </c>
      <c r="R3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5</v>
      </c>
      <c r="S3" t="s">
        <v>223</v>
      </c>
      <c r="T3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5</v>
      </c>
      <c r="U3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5</v>
      </c>
      <c r="V3" t="s">
        <v>223</v>
      </c>
      <c r="W3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5</v>
      </c>
      <c r="X3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5</v>
      </c>
    </row>
    <row r="4" spans="1:26" x14ac:dyDescent="0.4">
      <c r="A4" t="s">
        <v>9</v>
      </c>
      <c r="B4" t="s">
        <v>10</v>
      </c>
      <c r="C4" t="s">
        <v>163</v>
      </c>
      <c r="D4" t="s">
        <v>4</v>
      </c>
      <c r="E4" t="s">
        <v>5</v>
      </c>
      <c r="F4">
        <f>LEN(Attack_Leaf_Matrix[[#This Row],[Attack Trees]]) - LEN(SUBSTITUTE(Attack_Leaf_Matrix[[#This Row],[Attack Trees]], ",", "")) +1</f>
        <v>1</v>
      </c>
      <c r="G4">
        <f>LEN(Attack_Leaf_Matrix[[#This Row],[Risk classes]]) - LEN(SUBSTITUTE(Attack_Leaf_Matrix[[#This Row],[Risk classes]], ",", "")) +1</f>
        <v>1</v>
      </c>
      <c r="H4" t="s">
        <v>165</v>
      </c>
      <c r="I4" t="s">
        <v>172</v>
      </c>
      <c r="J4" t="s">
        <v>171</v>
      </c>
      <c r="K4" t="s">
        <v>171</v>
      </c>
      <c r="L4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>2</v>
      </c>
      <c r="M4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>8</v>
      </c>
      <c r="N4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>5</v>
      </c>
      <c r="O4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8</v>
      </c>
      <c r="P4" t="s">
        <v>223</v>
      </c>
      <c r="Q4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5</v>
      </c>
      <c r="R4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5</v>
      </c>
      <c r="S4" t="s">
        <v>223</v>
      </c>
      <c r="T4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5</v>
      </c>
      <c r="U4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5</v>
      </c>
      <c r="V4" t="s">
        <v>223</v>
      </c>
      <c r="W4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5</v>
      </c>
      <c r="X4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5</v>
      </c>
    </row>
    <row r="5" spans="1:26" x14ac:dyDescent="0.4">
      <c r="A5" t="s">
        <v>11</v>
      </c>
      <c r="B5" t="s">
        <v>12</v>
      </c>
      <c r="C5" t="s">
        <v>163</v>
      </c>
      <c r="D5" t="s">
        <v>4</v>
      </c>
      <c r="E5" t="s">
        <v>13</v>
      </c>
      <c r="F5">
        <f>LEN(Attack_Leaf_Matrix[[#This Row],[Attack Trees]]) - LEN(SUBSTITUTE(Attack_Leaf_Matrix[[#This Row],[Attack Trees]], ",", "")) +1</f>
        <v>1</v>
      </c>
      <c r="G5">
        <f>LEN(Attack_Leaf_Matrix[[#This Row],[Risk classes]]) - LEN(SUBSTITUTE(Attack_Leaf_Matrix[[#This Row],[Risk classes]], ",", "")) +1</f>
        <v>2</v>
      </c>
      <c r="H5" t="s">
        <v>165</v>
      </c>
      <c r="I5" t="s">
        <v>172</v>
      </c>
      <c r="J5" t="s">
        <v>175</v>
      </c>
      <c r="K5" t="s">
        <v>175</v>
      </c>
      <c r="L5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>2</v>
      </c>
      <c r="M5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>10</v>
      </c>
      <c r="N5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>5</v>
      </c>
      <c r="O5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10</v>
      </c>
      <c r="P5" t="s">
        <v>223</v>
      </c>
      <c r="Q5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5</v>
      </c>
      <c r="R5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8</v>
      </c>
      <c r="S5" t="s">
        <v>223</v>
      </c>
      <c r="T5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5</v>
      </c>
      <c r="U5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8</v>
      </c>
      <c r="V5" t="s">
        <v>223</v>
      </c>
      <c r="W5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5</v>
      </c>
      <c r="X5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8</v>
      </c>
    </row>
    <row r="6" spans="1:26" x14ac:dyDescent="0.4">
      <c r="A6" t="s">
        <v>14</v>
      </c>
      <c r="B6" t="s">
        <v>15</v>
      </c>
      <c r="C6" t="s">
        <v>164</v>
      </c>
      <c r="D6" t="s">
        <v>16</v>
      </c>
      <c r="E6" t="s">
        <v>17</v>
      </c>
      <c r="F6">
        <f>LEN(Attack_Leaf_Matrix[[#This Row],[Attack Trees]]) - LEN(SUBSTITUTE(Attack_Leaf_Matrix[[#This Row],[Attack Trees]], ",", "")) +1</f>
        <v>2</v>
      </c>
      <c r="G6">
        <f>LEN(Attack_Leaf_Matrix[[#This Row],[Risk classes]]) - LEN(SUBSTITUTE(Attack_Leaf_Matrix[[#This Row],[Risk classes]], ",", "")) +1</f>
        <v>2</v>
      </c>
      <c r="H6" t="s">
        <v>221</v>
      </c>
      <c r="I6" t="s">
        <v>165</v>
      </c>
      <c r="J6" t="s">
        <v>165</v>
      </c>
      <c r="K6" t="s">
        <v>171</v>
      </c>
      <c r="L6" t="str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/>
      </c>
      <c r="M6" t="str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/>
      </c>
      <c r="N6" t="str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/>
      </c>
      <c r="O6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8</v>
      </c>
      <c r="P6" t="s">
        <v>224</v>
      </c>
      <c r="Q6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10</v>
      </c>
      <c r="R6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8</v>
      </c>
      <c r="S6" t="s">
        <v>224</v>
      </c>
      <c r="T6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10</v>
      </c>
      <c r="U6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8</v>
      </c>
      <c r="V6" t="s">
        <v>226</v>
      </c>
      <c r="W6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0</v>
      </c>
      <c r="X6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2</v>
      </c>
      <c r="Y6" t="s">
        <v>150</v>
      </c>
      <c r="Z6" t="s">
        <v>294</v>
      </c>
    </row>
    <row r="7" spans="1:26" x14ac:dyDescent="0.4">
      <c r="A7" t="s">
        <v>18</v>
      </c>
      <c r="B7" t="s">
        <v>19</v>
      </c>
      <c r="C7" t="s">
        <v>164</v>
      </c>
      <c r="D7" t="s">
        <v>16</v>
      </c>
      <c r="E7" t="s">
        <v>5</v>
      </c>
      <c r="F7">
        <f>LEN(Attack_Leaf_Matrix[[#This Row],[Attack Trees]]) - LEN(SUBSTITUTE(Attack_Leaf_Matrix[[#This Row],[Attack Trees]], ",", "")) +1</f>
        <v>2</v>
      </c>
      <c r="G7">
        <f>LEN(Attack_Leaf_Matrix[[#This Row],[Risk classes]]) - LEN(SUBSTITUTE(Attack_Leaf_Matrix[[#This Row],[Risk classes]], ",", "")) +1</f>
        <v>1</v>
      </c>
      <c r="H7" t="s">
        <v>221</v>
      </c>
      <c r="I7" t="s">
        <v>165</v>
      </c>
      <c r="J7" t="s">
        <v>165</v>
      </c>
      <c r="K7" t="s">
        <v>171</v>
      </c>
      <c r="L7" t="str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/>
      </c>
      <c r="M7" t="str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/>
      </c>
      <c r="N7" t="str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/>
      </c>
      <c r="O7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8</v>
      </c>
      <c r="P7" t="s">
        <v>224</v>
      </c>
      <c r="Q7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10</v>
      </c>
      <c r="R7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8</v>
      </c>
      <c r="S7" t="s">
        <v>224</v>
      </c>
      <c r="T7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10</v>
      </c>
      <c r="U7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8</v>
      </c>
      <c r="V7" t="s">
        <v>226</v>
      </c>
      <c r="W7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0</v>
      </c>
      <c r="X7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2</v>
      </c>
      <c r="Y7" t="s">
        <v>150</v>
      </c>
      <c r="Z7" t="s">
        <v>294</v>
      </c>
    </row>
    <row r="8" spans="1:26" x14ac:dyDescent="0.4">
      <c r="A8" t="s">
        <v>20</v>
      </c>
      <c r="B8" t="s">
        <v>21</v>
      </c>
      <c r="C8" t="s">
        <v>163</v>
      </c>
      <c r="D8" t="s">
        <v>22</v>
      </c>
      <c r="E8" t="s">
        <v>23</v>
      </c>
      <c r="F8">
        <f>LEN(Attack_Leaf_Matrix[[#This Row],[Attack Trees]]) - LEN(SUBSTITUTE(Attack_Leaf_Matrix[[#This Row],[Attack Trees]], ",", "")) +1</f>
        <v>2</v>
      </c>
      <c r="G8">
        <f>LEN(Attack_Leaf_Matrix[[#This Row],[Risk classes]]) - LEN(SUBSTITUTE(Attack_Leaf_Matrix[[#This Row],[Risk classes]], ",", "")) +1</f>
        <v>1</v>
      </c>
      <c r="H8" t="s">
        <v>165</v>
      </c>
      <c r="I8" t="s">
        <v>171</v>
      </c>
      <c r="J8" t="s">
        <v>174</v>
      </c>
      <c r="K8" t="s">
        <v>171</v>
      </c>
      <c r="L8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>8</v>
      </c>
      <c r="M8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>5</v>
      </c>
      <c r="N8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>5</v>
      </c>
      <c r="O8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8</v>
      </c>
      <c r="P8" t="s">
        <v>223</v>
      </c>
      <c r="Q8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5</v>
      </c>
      <c r="R8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5</v>
      </c>
      <c r="S8" t="s">
        <v>223</v>
      </c>
      <c r="T8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5</v>
      </c>
      <c r="U8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5</v>
      </c>
      <c r="V8" t="s">
        <v>223</v>
      </c>
      <c r="W8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5</v>
      </c>
      <c r="X8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5</v>
      </c>
    </row>
    <row r="9" spans="1:26" x14ac:dyDescent="0.4">
      <c r="A9" t="s">
        <v>24</v>
      </c>
      <c r="B9" t="s">
        <v>25</v>
      </c>
      <c r="C9" t="s">
        <v>164</v>
      </c>
      <c r="D9" t="s">
        <v>4</v>
      </c>
      <c r="E9" t="s">
        <v>5</v>
      </c>
      <c r="F9">
        <f>LEN(Attack_Leaf_Matrix[[#This Row],[Attack Trees]]) - LEN(SUBSTITUTE(Attack_Leaf_Matrix[[#This Row],[Attack Trees]], ",", "")) +1</f>
        <v>1</v>
      </c>
      <c r="G9">
        <f>LEN(Attack_Leaf_Matrix[[#This Row],[Risk classes]]) - LEN(SUBSTITUTE(Attack_Leaf_Matrix[[#This Row],[Risk classes]], ",", "")) +1</f>
        <v>1</v>
      </c>
      <c r="H9" t="s">
        <v>222</v>
      </c>
      <c r="I9" t="s">
        <v>165</v>
      </c>
      <c r="J9" t="s">
        <v>165</v>
      </c>
      <c r="K9" t="s">
        <v>174</v>
      </c>
      <c r="L9" t="str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/>
      </c>
      <c r="M9" t="str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/>
      </c>
      <c r="N9" t="str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/>
      </c>
      <c r="O9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5</v>
      </c>
      <c r="P9" t="s">
        <v>224</v>
      </c>
      <c r="Q9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10</v>
      </c>
      <c r="R9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5</v>
      </c>
      <c r="S9" t="s">
        <v>224</v>
      </c>
      <c r="T9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10</v>
      </c>
      <c r="U9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5</v>
      </c>
      <c r="V9" t="s">
        <v>225</v>
      </c>
      <c r="W9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5</v>
      </c>
      <c r="X9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5</v>
      </c>
      <c r="Y9" t="s">
        <v>152</v>
      </c>
      <c r="Z9" t="s">
        <v>294</v>
      </c>
    </row>
    <row r="10" spans="1:26" x14ac:dyDescent="0.4">
      <c r="A10" t="s">
        <v>26</v>
      </c>
      <c r="B10" t="s">
        <v>27</v>
      </c>
      <c r="C10" t="s">
        <v>163</v>
      </c>
      <c r="D10" t="s">
        <v>4</v>
      </c>
      <c r="E10" t="s">
        <v>5</v>
      </c>
      <c r="F10">
        <f>LEN(Attack_Leaf_Matrix[[#This Row],[Attack Trees]]) - LEN(SUBSTITUTE(Attack_Leaf_Matrix[[#This Row],[Attack Trees]], ",", "")) +1</f>
        <v>1</v>
      </c>
      <c r="G10">
        <f>LEN(Attack_Leaf_Matrix[[#This Row],[Risk classes]]) - LEN(SUBSTITUTE(Attack_Leaf_Matrix[[#This Row],[Risk classes]], ",", "")) +1</f>
        <v>1</v>
      </c>
      <c r="H10" t="s">
        <v>165</v>
      </c>
      <c r="I10" t="s">
        <v>172</v>
      </c>
      <c r="J10" t="s">
        <v>172</v>
      </c>
      <c r="K10" t="s">
        <v>174</v>
      </c>
      <c r="L10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>2</v>
      </c>
      <c r="M10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>2</v>
      </c>
      <c r="N10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>2</v>
      </c>
      <c r="O10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5</v>
      </c>
      <c r="P10" t="s">
        <v>223</v>
      </c>
      <c r="Q10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2</v>
      </c>
      <c r="R10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2</v>
      </c>
      <c r="S10" t="s">
        <v>223</v>
      </c>
      <c r="T10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2</v>
      </c>
      <c r="U10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2</v>
      </c>
      <c r="V10" t="s">
        <v>223</v>
      </c>
      <c r="W10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2</v>
      </c>
      <c r="X10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2</v>
      </c>
    </row>
    <row r="11" spans="1:26" x14ac:dyDescent="0.4">
      <c r="A11" t="s">
        <v>28</v>
      </c>
      <c r="B11" t="s">
        <v>29</v>
      </c>
      <c r="C11" t="s">
        <v>164</v>
      </c>
      <c r="D11" t="s">
        <v>4</v>
      </c>
      <c r="E11" t="s">
        <v>17</v>
      </c>
      <c r="F11">
        <f>LEN(Attack_Leaf_Matrix[[#This Row],[Attack Trees]]) - LEN(SUBSTITUTE(Attack_Leaf_Matrix[[#This Row],[Attack Trees]], ",", "")) +1</f>
        <v>1</v>
      </c>
      <c r="G11">
        <f>LEN(Attack_Leaf_Matrix[[#This Row],[Risk classes]]) - LEN(SUBSTITUTE(Attack_Leaf_Matrix[[#This Row],[Risk classes]], ",", "")) +1</f>
        <v>2</v>
      </c>
      <c r="H11" t="s">
        <v>222</v>
      </c>
      <c r="I11" t="s">
        <v>165</v>
      </c>
      <c r="J11" t="s">
        <v>165</v>
      </c>
      <c r="K11" t="s">
        <v>174</v>
      </c>
      <c r="L11" t="str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/>
      </c>
      <c r="M11" t="str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/>
      </c>
      <c r="N11" t="str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/>
      </c>
      <c r="O11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5</v>
      </c>
      <c r="P11" t="s">
        <v>224</v>
      </c>
      <c r="Q11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10</v>
      </c>
      <c r="R11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5</v>
      </c>
      <c r="S11" t="s">
        <v>225</v>
      </c>
      <c r="T11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5</v>
      </c>
      <c r="U11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5</v>
      </c>
      <c r="V11" t="s">
        <v>225</v>
      </c>
      <c r="W11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5</v>
      </c>
      <c r="X11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5</v>
      </c>
      <c r="Y11" t="s">
        <v>156</v>
      </c>
      <c r="Z11" t="s">
        <v>294</v>
      </c>
    </row>
    <row r="12" spans="1:26" x14ac:dyDescent="0.4">
      <c r="A12" t="s">
        <v>30</v>
      </c>
      <c r="B12" t="s">
        <v>31</v>
      </c>
      <c r="C12" t="s">
        <v>163</v>
      </c>
      <c r="D12" t="s">
        <v>4</v>
      </c>
      <c r="E12" t="s">
        <v>17</v>
      </c>
      <c r="F12">
        <f>LEN(Attack_Leaf_Matrix[[#This Row],[Attack Trees]]) - LEN(SUBSTITUTE(Attack_Leaf_Matrix[[#This Row],[Attack Trees]], ",", "")) +1</f>
        <v>1</v>
      </c>
      <c r="G12">
        <f>LEN(Attack_Leaf_Matrix[[#This Row],[Risk classes]]) - LEN(SUBSTITUTE(Attack_Leaf_Matrix[[#This Row],[Risk classes]], ",", "")) +1</f>
        <v>2</v>
      </c>
      <c r="H12" t="s">
        <v>165</v>
      </c>
      <c r="I12" t="s">
        <v>171</v>
      </c>
      <c r="J12" t="s">
        <v>174</v>
      </c>
      <c r="K12" t="s">
        <v>174</v>
      </c>
      <c r="L12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>8</v>
      </c>
      <c r="M12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>5</v>
      </c>
      <c r="N12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>5</v>
      </c>
      <c r="O12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5</v>
      </c>
      <c r="P12" t="s">
        <v>223</v>
      </c>
      <c r="Q12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5</v>
      </c>
      <c r="R12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5</v>
      </c>
      <c r="S12" t="s">
        <v>223</v>
      </c>
      <c r="T12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5</v>
      </c>
      <c r="U12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5</v>
      </c>
      <c r="V12" t="s">
        <v>223</v>
      </c>
      <c r="W12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5</v>
      </c>
      <c r="X12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5</v>
      </c>
    </row>
    <row r="13" spans="1:26" x14ac:dyDescent="0.4">
      <c r="A13" t="s">
        <v>32</v>
      </c>
      <c r="B13" t="s">
        <v>33</v>
      </c>
      <c r="C13" t="s">
        <v>164</v>
      </c>
      <c r="D13" t="s">
        <v>4</v>
      </c>
      <c r="E13" t="s">
        <v>5</v>
      </c>
      <c r="F13">
        <f>LEN(Attack_Leaf_Matrix[[#This Row],[Attack Trees]]) - LEN(SUBSTITUTE(Attack_Leaf_Matrix[[#This Row],[Attack Trees]], ",", "")) +1</f>
        <v>1</v>
      </c>
      <c r="G13">
        <f>LEN(Attack_Leaf_Matrix[[#This Row],[Risk classes]]) - LEN(SUBSTITUTE(Attack_Leaf_Matrix[[#This Row],[Risk classes]], ",", "")) +1</f>
        <v>1</v>
      </c>
      <c r="H13" t="s">
        <v>221</v>
      </c>
      <c r="I13" t="s">
        <v>165</v>
      </c>
      <c r="J13" t="s">
        <v>165</v>
      </c>
      <c r="K13" t="s">
        <v>175</v>
      </c>
      <c r="L13" t="str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/>
      </c>
      <c r="M13" t="str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/>
      </c>
      <c r="N13" t="str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/>
      </c>
      <c r="O13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10</v>
      </c>
      <c r="P13" t="s">
        <v>224</v>
      </c>
      <c r="Q13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10</v>
      </c>
      <c r="R13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10</v>
      </c>
      <c r="S13" t="s">
        <v>224</v>
      </c>
      <c r="T13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10</v>
      </c>
      <c r="U13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10</v>
      </c>
      <c r="V13" t="s">
        <v>226</v>
      </c>
      <c r="W13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0</v>
      </c>
      <c r="X13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2</v>
      </c>
      <c r="Y13" t="s">
        <v>152</v>
      </c>
      <c r="Z13" t="s">
        <v>294</v>
      </c>
    </row>
    <row r="14" spans="1:26" x14ac:dyDescent="0.4">
      <c r="A14" t="s">
        <v>34</v>
      </c>
      <c r="B14" t="s">
        <v>35</v>
      </c>
      <c r="C14" t="s">
        <v>164</v>
      </c>
      <c r="D14" t="s">
        <v>4</v>
      </c>
      <c r="E14" t="s">
        <v>36</v>
      </c>
      <c r="F14">
        <f>LEN(Attack_Leaf_Matrix[[#This Row],[Attack Trees]]) - LEN(SUBSTITUTE(Attack_Leaf_Matrix[[#This Row],[Attack Trees]], ",", "")) +1</f>
        <v>1</v>
      </c>
      <c r="G14">
        <f>LEN(Attack_Leaf_Matrix[[#This Row],[Risk classes]]) - LEN(SUBSTITUTE(Attack_Leaf_Matrix[[#This Row],[Risk classes]], ",", "")) +1</f>
        <v>1</v>
      </c>
      <c r="H14" t="s">
        <v>221</v>
      </c>
      <c r="I14" t="s">
        <v>165</v>
      </c>
      <c r="J14" t="s">
        <v>165</v>
      </c>
      <c r="K14" t="s">
        <v>171</v>
      </c>
      <c r="L14" t="str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/>
      </c>
      <c r="M14" t="str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/>
      </c>
      <c r="N14" t="str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/>
      </c>
      <c r="O14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8</v>
      </c>
      <c r="P14" t="s">
        <v>224</v>
      </c>
      <c r="Q14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10</v>
      </c>
      <c r="R14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8</v>
      </c>
      <c r="S14" t="s">
        <v>224</v>
      </c>
      <c r="T14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10</v>
      </c>
      <c r="U14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8</v>
      </c>
      <c r="V14" t="s">
        <v>226</v>
      </c>
      <c r="W14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0</v>
      </c>
      <c r="X14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2</v>
      </c>
      <c r="Y14" t="s">
        <v>152</v>
      </c>
      <c r="Z14" t="s">
        <v>294</v>
      </c>
    </row>
    <row r="15" spans="1:26" x14ac:dyDescent="0.4">
      <c r="A15" t="s">
        <v>37</v>
      </c>
      <c r="B15" t="s">
        <v>38</v>
      </c>
      <c r="C15" t="s">
        <v>164</v>
      </c>
      <c r="D15" t="s">
        <v>4</v>
      </c>
      <c r="E15" t="s">
        <v>5</v>
      </c>
      <c r="F15">
        <f>LEN(Attack_Leaf_Matrix[[#This Row],[Attack Trees]]) - LEN(SUBSTITUTE(Attack_Leaf_Matrix[[#This Row],[Attack Trees]], ",", "")) +1</f>
        <v>1</v>
      </c>
      <c r="G15">
        <f>LEN(Attack_Leaf_Matrix[[#This Row],[Risk classes]]) - LEN(SUBSTITUTE(Attack_Leaf_Matrix[[#This Row],[Risk classes]], ",", "")) +1</f>
        <v>1</v>
      </c>
      <c r="H15" t="s">
        <v>221</v>
      </c>
      <c r="I15" t="s">
        <v>165</v>
      </c>
      <c r="J15" t="s">
        <v>165</v>
      </c>
      <c r="K15" t="s">
        <v>175</v>
      </c>
      <c r="L15" t="str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/>
      </c>
      <c r="M15" t="str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/>
      </c>
      <c r="N15" t="str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/>
      </c>
      <c r="O15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10</v>
      </c>
      <c r="P15" t="s">
        <v>224</v>
      </c>
      <c r="Q15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10</v>
      </c>
      <c r="R15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10</v>
      </c>
      <c r="S15" t="s">
        <v>225</v>
      </c>
      <c r="T15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5</v>
      </c>
      <c r="U15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8</v>
      </c>
      <c r="V15" t="s">
        <v>226</v>
      </c>
      <c r="W15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0</v>
      </c>
      <c r="X15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2</v>
      </c>
      <c r="Y15" t="s">
        <v>149</v>
      </c>
      <c r="Z15" t="s">
        <v>294</v>
      </c>
    </row>
    <row r="16" spans="1:26" x14ac:dyDescent="0.4">
      <c r="A16" t="s">
        <v>39</v>
      </c>
      <c r="B16" t="s">
        <v>40</v>
      </c>
      <c r="C16" t="s">
        <v>164</v>
      </c>
      <c r="D16" t="s">
        <v>4</v>
      </c>
      <c r="E16" t="s">
        <v>23</v>
      </c>
      <c r="F16">
        <f>LEN(Attack_Leaf_Matrix[[#This Row],[Attack Trees]]) - LEN(SUBSTITUTE(Attack_Leaf_Matrix[[#This Row],[Attack Trees]], ",", "")) +1</f>
        <v>1</v>
      </c>
      <c r="G16">
        <f>LEN(Attack_Leaf_Matrix[[#This Row],[Risk classes]]) - LEN(SUBSTITUTE(Attack_Leaf_Matrix[[#This Row],[Risk classes]], ",", "")) +1</f>
        <v>1</v>
      </c>
      <c r="H16" t="s">
        <v>221</v>
      </c>
      <c r="I16" t="s">
        <v>165</v>
      </c>
      <c r="J16" t="s">
        <v>165</v>
      </c>
      <c r="K16" t="s">
        <v>171</v>
      </c>
      <c r="L16" t="str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/>
      </c>
      <c r="M16" t="str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/>
      </c>
      <c r="N16" t="str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/>
      </c>
      <c r="O16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8</v>
      </c>
      <c r="P16" t="s">
        <v>224</v>
      </c>
      <c r="Q16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10</v>
      </c>
      <c r="R16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8</v>
      </c>
      <c r="S16" t="s">
        <v>224</v>
      </c>
      <c r="T16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10</v>
      </c>
      <c r="U16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8</v>
      </c>
      <c r="V16" t="s">
        <v>226</v>
      </c>
      <c r="W16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0</v>
      </c>
      <c r="X16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2</v>
      </c>
      <c r="Y16" t="s">
        <v>151</v>
      </c>
      <c r="Z16" t="s">
        <v>294</v>
      </c>
    </row>
    <row r="17" spans="1:26" x14ac:dyDescent="0.4">
      <c r="A17" t="s">
        <v>41</v>
      </c>
      <c r="B17" t="s">
        <v>42</v>
      </c>
      <c r="C17" t="s">
        <v>164</v>
      </c>
      <c r="D17" t="s">
        <v>4</v>
      </c>
      <c r="E17" t="s">
        <v>5</v>
      </c>
      <c r="F17">
        <f>LEN(Attack_Leaf_Matrix[[#This Row],[Attack Trees]]) - LEN(SUBSTITUTE(Attack_Leaf_Matrix[[#This Row],[Attack Trees]], ",", "")) +1</f>
        <v>1</v>
      </c>
      <c r="G17">
        <f>LEN(Attack_Leaf_Matrix[[#This Row],[Risk classes]]) - LEN(SUBSTITUTE(Attack_Leaf_Matrix[[#This Row],[Risk classes]], ",", "")) +1</f>
        <v>1</v>
      </c>
      <c r="H17" t="s">
        <v>221</v>
      </c>
      <c r="I17" t="s">
        <v>165</v>
      </c>
      <c r="J17" t="s">
        <v>165</v>
      </c>
      <c r="K17" t="s">
        <v>171</v>
      </c>
      <c r="L17" t="str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/>
      </c>
      <c r="M17" t="str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/>
      </c>
      <c r="N17" t="str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/>
      </c>
      <c r="O17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8</v>
      </c>
      <c r="P17" t="s">
        <v>224</v>
      </c>
      <c r="Q17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10</v>
      </c>
      <c r="R17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8</v>
      </c>
      <c r="S17" t="s">
        <v>225</v>
      </c>
      <c r="T17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5</v>
      </c>
      <c r="U17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5</v>
      </c>
      <c r="V17" t="s">
        <v>225</v>
      </c>
      <c r="W17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5</v>
      </c>
      <c r="X17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5</v>
      </c>
      <c r="Y17" t="s">
        <v>154</v>
      </c>
      <c r="Z17" t="s">
        <v>294</v>
      </c>
    </row>
    <row r="18" spans="1:26" x14ac:dyDescent="0.4">
      <c r="A18" t="s">
        <v>43</v>
      </c>
      <c r="B18" t="s">
        <v>44</v>
      </c>
      <c r="C18" t="s">
        <v>163</v>
      </c>
      <c r="D18" t="s">
        <v>4</v>
      </c>
      <c r="E18" t="s">
        <v>5</v>
      </c>
      <c r="F18">
        <f>LEN(Attack_Leaf_Matrix[[#This Row],[Attack Trees]]) - LEN(SUBSTITUTE(Attack_Leaf_Matrix[[#This Row],[Attack Trees]], ",", "")) +1</f>
        <v>1</v>
      </c>
      <c r="G18">
        <f>LEN(Attack_Leaf_Matrix[[#This Row],[Risk classes]]) - LEN(SUBSTITUTE(Attack_Leaf_Matrix[[#This Row],[Risk classes]], ",", "")) +1</f>
        <v>1</v>
      </c>
      <c r="H18" t="s">
        <v>165</v>
      </c>
      <c r="I18" t="s">
        <v>175</v>
      </c>
      <c r="J18" t="s">
        <v>171</v>
      </c>
      <c r="K18" t="s">
        <v>175</v>
      </c>
      <c r="L18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>10</v>
      </c>
      <c r="M18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>8</v>
      </c>
      <c r="N18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>10</v>
      </c>
      <c r="O18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10</v>
      </c>
      <c r="P18" t="s">
        <v>223</v>
      </c>
      <c r="Q18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10</v>
      </c>
      <c r="R18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10</v>
      </c>
      <c r="S18" t="s">
        <v>223</v>
      </c>
      <c r="T18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10</v>
      </c>
      <c r="U18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10</v>
      </c>
      <c r="V18" t="s">
        <v>223</v>
      </c>
      <c r="W18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10</v>
      </c>
      <c r="X18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10</v>
      </c>
    </row>
    <row r="19" spans="1:26" x14ac:dyDescent="0.4">
      <c r="A19" t="s">
        <v>45</v>
      </c>
      <c r="B19" t="s">
        <v>46</v>
      </c>
      <c r="C19" t="s">
        <v>163</v>
      </c>
      <c r="D19" t="s">
        <v>4</v>
      </c>
      <c r="E19" t="s">
        <v>5</v>
      </c>
      <c r="F19">
        <f>LEN(Attack_Leaf_Matrix[[#This Row],[Attack Trees]]) - LEN(SUBSTITUTE(Attack_Leaf_Matrix[[#This Row],[Attack Trees]], ",", "")) +1</f>
        <v>1</v>
      </c>
      <c r="G19">
        <f>LEN(Attack_Leaf_Matrix[[#This Row],[Risk classes]]) - LEN(SUBSTITUTE(Attack_Leaf_Matrix[[#This Row],[Risk classes]], ",", "")) +1</f>
        <v>1</v>
      </c>
      <c r="H19" t="s">
        <v>165</v>
      </c>
      <c r="I19" t="s">
        <v>174</v>
      </c>
      <c r="J19" t="s">
        <v>175</v>
      </c>
      <c r="K19" t="s">
        <v>175</v>
      </c>
      <c r="L19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>5</v>
      </c>
      <c r="M19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>10</v>
      </c>
      <c r="N19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>8</v>
      </c>
      <c r="O19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10</v>
      </c>
      <c r="P19" t="s">
        <v>223</v>
      </c>
      <c r="Q19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8</v>
      </c>
      <c r="R19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10</v>
      </c>
      <c r="S19" t="s">
        <v>223</v>
      </c>
      <c r="T19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8</v>
      </c>
      <c r="U19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10</v>
      </c>
      <c r="V19" t="s">
        <v>223</v>
      </c>
      <c r="W19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8</v>
      </c>
      <c r="X19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10</v>
      </c>
    </row>
    <row r="20" spans="1:26" x14ac:dyDescent="0.4">
      <c r="A20" t="s">
        <v>47</v>
      </c>
      <c r="B20" t="s">
        <v>48</v>
      </c>
      <c r="C20" t="s">
        <v>163</v>
      </c>
      <c r="D20" t="s">
        <v>49</v>
      </c>
      <c r="E20" t="s">
        <v>50</v>
      </c>
      <c r="F20">
        <f>LEN(Attack_Leaf_Matrix[[#This Row],[Attack Trees]]) - LEN(SUBSTITUTE(Attack_Leaf_Matrix[[#This Row],[Attack Trees]], ",", "")) +1</f>
        <v>1</v>
      </c>
      <c r="G20">
        <f>LEN(Attack_Leaf_Matrix[[#This Row],[Risk classes]]) - LEN(SUBSTITUTE(Attack_Leaf_Matrix[[#This Row],[Risk classes]], ",", "")) +1</f>
        <v>2</v>
      </c>
      <c r="H20" t="s">
        <v>165</v>
      </c>
      <c r="I20" t="s">
        <v>172</v>
      </c>
      <c r="J20" t="s">
        <v>171</v>
      </c>
      <c r="K20" t="s">
        <v>171</v>
      </c>
      <c r="L20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>2</v>
      </c>
      <c r="M20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>8</v>
      </c>
      <c r="N20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>5</v>
      </c>
      <c r="O20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8</v>
      </c>
      <c r="P20" t="s">
        <v>223</v>
      </c>
      <c r="Q20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5</v>
      </c>
      <c r="R20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5</v>
      </c>
      <c r="S20" t="s">
        <v>223</v>
      </c>
      <c r="T20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5</v>
      </c>
      <c r="U20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5</v>
      </c>
      <c r="V20" t="s">
        <v>223</v>
      </c>
      <c r="W20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5</v>
      </c>
      <c r="X20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5</v>
      </c>
    </row>
    <row r="21" spans="1:26" x14ac:dyDescent="0.4">
      <c r="A21" t="s">
        <v>51</v>
      </c>
      <c r="B21" t="s">
        <v>52</v>
      </c>
      <c r="C21" t="s">
        <v>163</v>
      </c>
      <c r="D21" t="s">
        <v>49</v>
      </c>
      <c r="E21" t="s">
        <v>53</v>
      </c>
      <c r="F21">
        <f>LEN(Attack_Leaf_Matrix[[#This Row],[Attack Trees]]) - LEN(SUBSTITUTE(Attack_Leaf_Matrix[[#This Row],[Attack Trees]], ",", "")) +1</f>
        <v>1</v>
      </c>
      <c r="G21">
        <f>LEN(Attack_Leaf_Matrix[[#This Row],[Risk classes]]) - LEN(SUBSTITUTE(Attack_Leaf_Matrix[[#This Row],[Risk classes]], ",", "")) +1</f>
        <v>1</v>
      </c>
      <c r="H21" t="s">
        <v>165</v>
      </c>
      <c r="I21" t="s">
        <v>172</v>
      </c>
      <c r="J21" t="s">
        <v>171</v>
      </c>
      <c r="K21" t="s">
        <v>171</v>
      </c>
      <c r="L21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>2</v>
      </c>
      <c r="M21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>8</v>
      </c>
      <c r="N21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>5</v>
      </c>
      <c r="O21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8</v>
      </c>
      <c r="P21" t="s">
        <v>223</v>
      </c>
      <c r="Q21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5</v>
      </c>
      <c r="R21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5</v>
      </c>
      <c r="S21" t="s">
        <v>223</v>
      </c>
      <c r="T21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5</v>
      </c>
      <c r="U21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5</v>
      </c>
      <c r="V21" t="s">
        <v>223</v>
      </c>
      <c r="W21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5</v>
      </c>
      <c r="X21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5</v>
      </c>
    </row>
    <row r="22" spans="1:26" x14ac:dyDescent="0.4">
      <c r="A22" t="s">
        <v>54</v>
      </c>
      <c r="B22" t="s">
        <v>55</v>
      </c>
      <c r="C22" t="s">
        <v>163</v>
      </c>
      <c r="D22" t="s">
        <v>49</v>
      </c>
      <c r="E22" t="s">
        <v>56</v>
      </c>
      <c r="F22">
        <f>LEN(Attack_Leaf_Matrix[[#This Row],[Attack Trees]]) - LEN(SUBSTITUTE(Attack_Leaf_Matrix[[#This Row],[Attack Trees]], ",", "")) +1</f>
        <v>1</v>
      </c>
      <c r="G22">
        <f>LEN(Attack_Leaf_Matrix[[#This Row],[Risk classes]]) - LEN(SUBSTITUTE(Attack_Leaf_Matrix[[#This Row],[Risk classes]], ",", "")) +1</f>
        <v>2</v>
      </c>
      <c r="H22" t="s">
        <v>165</v>
      </c>
      <c r="I22" t="s">
        <v>174</v>
      </c>
      <c r="J22" t="s">
        <v>171</v>
      </c>
      <c r="K22" t="s">
        <v>171</v>
      </c>
      <c r="L22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>5</v>
      </c>
      <c r="M22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>8</v>
      </c>
      <c r="N22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>5</v>
      </c>
      <c r="O22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8</v>
      </c>
      <c r="P22" t="s">
        <v>223</v>
      </c>
      <c r="Q22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5</v>
      </c>
      <c r="R22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5</v>
      </c>
      <c r="S22" t="s">
        <v>223</v>
      </c>
      <c r="T22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5</v>
      </c>
      <c r="U22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5</v>
      </c>
      <c r="V22" t="s">
        <v>223</v>
      </c>
      <c r="W22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5</v>
      </c>
      <c r="X22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5</v>
      </c>
    </row>
    <row r="23" spans="1:26" x14ac:dyDescent="0.4">
      <c r="A23" t="s">
        <v>57</v>
      </c>
      <c r="B23" t="s">
        <v>58</v>
      </c>
      <c r="C23" t="s">
        <v>163</v>
      </c>
      <c r="D23" t="s">
        <v>49</v>
      </c>
      <c r="E23" t="s">
        <v>53</v>
      </c>
      <c r="F23">
        <f>LEN(Attack_Leaf_Matrix[[#This Row],[Attack Trees]]) - LEN(SUBSTITUTE(Attack_Leaf_Matrix[[#This Row],[Attack Trees]], ",", "")) +1</f>
        <v>1</v>
      </c>
      <c r="G23">
        <f>LEN(Attack_Leaf_Matrix[[#This Row],[Risk classes]]) - LEN(SUBSTITUTE(Attack_Leaf_Matrix[[#This Row],[Risk classes]], ",", "")) +1</f>
        <v>1</v>
      </c>
      <c r="H23" t="s">
        <v>165</v>
      </c>
      <c r="I23" t="s">
        <v>172</v>
      </c>
      <c r="J23" t="s">
        <v>171</v>
      </c>
      <c r="K23" t="s">
        <v>171</v>
      </c>
      <c r="L23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>2</v>
      </c>
      <c r="M23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>8</v>
      </c>
      <c r="N23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>5</v>
      </c>
      <c r="O23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8</v>
      </c>
      <c r="P23" t="s">
        <v>223</v>
      </c>
      <c r="Q23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5</v>
      </c>
      <c r="R23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5</v>
      </c>
      <c r="S23" t="s">
        <v>223</v>
      </c>
      <c r="T23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5</v>
      </c>
      <c r="U23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5</v>
      </c>
      <c r="V23" t="s">
        <v>223</v>
      </c>
      <c r="W23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5</v>
      </c>
      <c r="X23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5</v>
      </c>
    </row>
    <row r="24" spans="1:26" x14ac:dyDescent="0.4">
      <c r="A24" t="s">
        <v>59</v>
      </c>
      <c r="B24" t="s">
        <v>60</v>
      </c>
      <c r="C24" t="s">
        <v>163</v>
      </c>
      <c r="D24" t="s">
        <v>49</v>
      </c>
      <c r="E24" t="s">
        <v>53</v>
      </c>
      <c r="F24">
        <f>LEN(Attack_Leaf_Matrix[[#This Row],[Attack Trees]]) - LEN(SUBSTITUTE(Attack_Leaf_Matrix[[#This Row],[Attack Trees]], ",", "")) +1</f>
        <v>1</v>
      </c>
      <c r="G24">
        <f>LEN(Attack_Leaf_Matrix[[#This Row],[Risk classes]]) - LEN(SUBSTITUTE(Attack_Leaf_Matrix[[#This Row],[Risk classes]], ",", "")) +1</f>
        <v>1</v>
      </c>
      <c r="H24" t="s">
        <v>165</v>
      </c>
      <c r="I24" t="s">
        <v>174</v>
      </c>
      <c r="J24" t="s">
        <v>171</v>
      </c>
      <c r="K24" t="s">
        <v>171</v>
      </c>
      <c r="L24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>5</v>
      </c>
      <c r="M24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>8</v>
      </c>
      <c r="N24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>5</v>
      </c>
      <c r="O24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8</v>
      </c>
      <c r="P24" t="s">
        <v>223</v>
      </c>
      <c r="Q24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5</v>
      </c>
      <c r="R24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5</v>
      </c>
      <c r="S24" t="s">
        <v>223</v>
      </c>
      <c r="T24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5</v>
      </c>
      <c r="U24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5</v>
      </c>
      <c r="V24" t="s">
        <v>223</v>
      </c>
      <c r="W24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5</v>
      </c>
      <c r="X24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5</v>
      </c>
    </row>
    <row r="25" spans="1:26" x14ac:dyDescent="0.4">
      <c r="A25" t="s">
        <v>61</v>
      </c>
      <c r="B25" t="s">
        <v>62</v>
      </c>
      <c r="C25" t="s">
        <v>164</v>
      </c>
      <c r="D25" t="s">
        <v>49</v>
      </c>
      <c r="E25" t="s">
        <v>63</v>
      </c>
      <c r="F25">
        <f>LEN(Attack_Leaf_Matrix[[#This Row],[Attack Trees]]) - LEN(SUBSTITUTE(Attack_Leaf_Matrix[[#This Row],[Attack Trees]], ",", "")) +1</f>
        <v>1</v>
      </c>
      <c r="G25">
        <f>LEN(Attack_Leaf_Matrix[[#This Row],[Risk classes]]) - LEN(SUBSTITUTE(Attack_Leaf_Matrix[[#This Row],[Risk classes]], ",", "")) +1</f>
        <v>2</v>
      </c>
      <c r="H25" t="s">
        <v>222</v>
      </c>
      <c r="I25" t="s">
        <v>165</v>
      </c>
      <c r="J25" t="s">
        <v>165</v>
      </c>
      <c r="K25" t="s">
        <v>174</v>
      </c>
      <c r="L25" t="str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/>
      </c>
      <c r="M25" t="str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/>
      </c>
      <c r="N25" t="str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/>
      </c>
      <c r="O25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5</v>
      </c>
      <c r="P25" t="s">
        <v>224</v>
      </c>
      <c r="Q25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10</v>
      </c>
      <c r="R25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5</v>
      </c>
      <c r="S25" t="s">
        <v>224</v>
      </c>
      <c r="T25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10</v>
      </c>
      <c r="U25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5</v>
      </c>
      <c r="V25" t="s">
        <v>226</v>
      </c>
      <c r="W25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0</v>
      </c>
      <c r="X25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0</v>
      </c>
      <c r="Y25" t="s">
        <v>150</v>
      </c>
      <c r="Z25" t="s">
        <v>294</v>
      </c>
    </row>
    <row r="26" spans="1:26" x14ac:dyDescent="0.4">
      <c r="A26" t="s">
        <v>64</v>
      </c>
      <c r="B26" t="s">
        <v>65</v>
      </c>
      <c r="C26" t="s">
        <v>164</v>
      </c>
      <c r="D26" t="s">
        <v>49</v>
      </c>
      <c r="E26" t="s">
        <v>63</v>
      </c>
      <c r="F26">
        <f>LEN(Attack_Leaf_Matrix[[#This Row],[Attack Trees]]) - LEN(SUBSTITUTE(Attack_Leaf_Matrix[[#This Row],[Attack Trees]], ",", "")) +1</f>
        <v>1</v>
      </c>
      <c r="G26">
        <f>LEN(Attack_Leaf_Matrix[[#This Row],[Risk classes]]) - LEN(SUBSTITUTE(Attack_Leaf_Matrix[[#This Row],[Risk classes]], ",", "")) +1</f>
        <v>2</v>
      </c>
      <c r="H26" t="s">
        <v>222</v>
      </c>
      <c r="I26" t="s">
        <v>165</v>
      </c>
      <c r="J26" t="s">
        <v>165</v>
      </c>
      <c r="K26" t="s">
        <v>174</v>
      </c>
      <c r="L26" t="str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/>
      </c>
      <c r="M26" t="str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/>
      </c>
      <c r="N26" t="str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/>
      </c>
      <c r="O26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5</v>
      </c>
      <c r="P26" t="s">
        <v>224</v>
      </c>
      <c r="Q26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10</v>
      </c>
      <c r="R26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5</v>
      </c>
      <c r="S26" t="s">
        <v>224</v>
      </c>
      <c r="T26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10</v>
      </c>
      <c r="U26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5</v>
      </c>
      <c r="V26" t="s">
        <v>226</v>
      </c>
      <c r="W26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0</v>
      </c>
      <c r="X26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0</v>
      </c>
      <c r="Y26" t="s">
        <v>150</v>
      </c>
      <c r="Z26" t="s">
        <v>294</v>
      </c>
    </row>
    <row r="27" spans="1:26" x14ac:dyDescent="0.4">
      <c r="A27" t="s">
        <v>66</v>
      </c>
      <c r="B27" t="s">
        <v>67</v>
      </c>
      <c r="C27" t="s">
        <v>164</v>
      </c>
      <c r="D27" t="s">
        <v>49</v>
      </c>
      <c r="E27" t="s">
        <v>8</v>
      </c>
      <c r="F27">
        <f>LEN(Attack_Leaf_Matrix[[#This Row],[Attack Trees]]) - LEN(SUBSTITUTE(Attack_Leaf_Matrix[[#This Row],[Attack Trees]], ",", "")) +1</f>
        <v>1</v>
      </c>
      <c r="G27">
        <f>LEN(Attack_Leaf_Matrix[[#This Row],[Risk classes]]) - LEN(SUBSTITUTE(Attack_Leaf_Matrix[[#This Row],[Risk classes]], ",", "")) +1</f>
        <v>2</v>
      </c>
      <c r="H27" t="s">
        <v>222</v>
      </c>
      <c r="I27" t="s">
        <v>165</v>
      </c>
      <c r="J27" t="s">
        <v>165</v>
      </c>
      <c r="K27" t="s">
        <v>171</v>
      </c>
      <c r="L27" t="str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/>
      </c>
      <c r="M27" t="str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/>
      </c>
      <c r="N27" t="str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/>
      </c>
      <c r="O27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8</v>
      </c>
      <c r="P27" t="s">
        <v>224</v>
      </c>
      <c r="Q27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10</v>
      </c>
      <c r="R27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8</v>
      </c>
      <c r="S27" t="s">
        <v>224</v>
      </c>
      <c r="T27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10</v>
      </c>
      <c r="U27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8</v>
      </c>
      <c r="V27" t="s">
        <v>226</v>
      </c>
      <c r="W27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0</v>
      </c>
      <c r="X27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2</v>
      </c>
      <c r="Y27" t="s">
        <v>150</v>
      </c>
      <c r="Z27" t="s">
        <v>294</v>
      </c>
    </row>
    <row r="28" spans="1:26" x14ac:dyDescent="0.4">
      <c r="A28" t="s">
        <v>68</v>
      </c>
      <c r="B28" t="s">
        <v>69</v>
      </c>
      <c r="C28" t="s">
        <v>164</v>
      </c>
      <c r="D28" t="s">
        <v>49</v>
      </c>
      <c r="E28" t="s">
        <v>17</v>
      </c>
      <c r="F28">
        <f>LEN(Attack_Leaf_Matrix[[#This Row],[Attack Trees]]) - LEN(SUBSTITUTE(Attack_Leaf_Matrix[[#This Row],[Attack Trees]], ",", "")) +1</f>
        <v>1</v>
      </c>
      <c r="G28">
        <f>LEN(Attack_Leaf_Matrix[[#This Row],[Risk classes]]) - LEN(SUBSTITUTE(Attack_Leaf_Matrix[[#This Row],[Risk classes]], ",", "")) +1</f>
        <v>2</v>
      </c>
      <c r="H28" t="s">
        <v>221</v>
      </c>
      <c r="I28" t="s">
        <v>165</v>
      </c>
      <c r="J28" t="s">
        <v>165</v>
      </c>
      <c r="K28" t="s">
        <v>175</v>
      </c>
      <c r="L28" t="str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/>
      </c>
      <c r="M28" t="str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/>
      </c>
      <c r="N28" t="str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/>
      </c>
      <c r="O28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10</v>
      </c>
      <c r="P28" t="s">
        <v>224</v>
      </c>
      <c r="Q28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10</v>
      </c>
      <c r="R28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10</v>
      </c>
      <c r="S28" t="s">
        <v>225</v>
      </c>
      <c r="T28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5</v>
      </c>
      <c r="U28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8</v>
      </c>
      <c r="V28" t="s">
        <v>226</v>
      </c>
      <c r="W28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0</v>
      </c>
      <c r="X28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2</v>
      </c>
      <c r="Y28" t="s">
        <v>149</v>
      </c>
      <c r="Z28" t="s">
        <v>294</v>
      </c>
    </row>
    <row r="29" spans="1:26" x14ac:dyDescent="0.4">
      <c r="A29" t="s">
        <v>70</v>
      </c>
      <c r="B29" t="s">
        <v>71</v>
      </c>
      <c r="C29" t="s">
        <v>164</v>
      </c>
      <c r="D29" t="s">
        <v>72</v>
      </c>
      <c r="E29" t="s">
        <v>73</v>
      </c>
      <c r="F29">
        <f>LEN(Attack_Leaf_Matrix[[#This Row],[Attack Trees]]) - LEN(SUBSTITUTE(Attack_Leaf_Matrix[[#This Row],[Attack Trees]], ",", "")) +1</f>
        <v>2</v>
      </c>
      <c r="G29">
        <f>LEN(Attack_Leaf_Matrix[[#This Row],[Risk classes]]) - LEN(SUBSTITUTE(Attack_Leaf_Matrix[[#This Row],[Risk classes]], ",", "")) +1</f>
        <v>2</v>
      </c>
      <c r="H29" t="s">
        <v>221</v>
      </c>
      <c r="I29" t="s">
        <v>165</v>
      </c>
      <c r="J29" t="s">
        <v>165</v>
      </c>
      <c r="K29" t="s">
        <v>171</v>
      </c>
      <c r="L29" t="str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/>
      </c>
      <c r="M29" t="str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/>
      </c>
      <c r="N29" t="str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/>
      </c>
      <c r="O29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8</v>
      </c>
      <c r="P29" t="s">
        <v>224</v>
      </c>
      <c r="Q29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10</v>
      </c>
      <c r="R29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8</v>
      </c>
      <c r="S29" t="s">
        <v>225</v>
      </c>
      <c r="T29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5</v>
      </c>
      <c r="U29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5</v>
      </c>
      <c r="V29" t="s">
        <v>226</v>
      </c>
      <c r="W29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0</v>
      </c>
      <c r="X29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2</v>
      </c>
      <c r="Y29" t="s">
        <v>157</v>
      </c>
      <c r="Z29" t="s">
        <v>294</v>
      </c>
    </row>
    <row r="30" spans="1:26" x14ac:dyDescent="0.4">
      <c r="A30" t="s">
        <v>74</v>
      </c>
      <c r="B30" t="s">
        <v>75</v>
      </c>
      <c r="C30" t="s">
        <v>164</v>
      </c>
      <c r="D30" t="s">
        <v>72</v>
      </c>
      <c r="E30" t="s">
        <v>73</v>
      </c>
      <c r="F30">
        <f>LEN(Attack_Leaf_Matrix[[#This Row],[Attack Trees]]) - LEN(SUBSTITUTE(Attack_Leaf_Matrix[[#This Row],[Attack Trees]], ",", "")) +1</f>
        <v>2</v>
      </c>
      <c r="G30">
        <f>LEN(Attack_Leaf_Matrix[[#This Row],[Risk classes]]) - LEN(SUBSTITUTE(Attack_Leaf_Matrix[[#This Row],[Risk classes]], ",", "")) +1</f>
        <v>2</v>
      </c>
      <c r="H30" t="s">
        <v>221</v>
      </c>
      <c r="I30" t="s">
        <v>165</v>
      </c>
      <c r="J30" t="s">
        <v>165</v>
      </c>
      <c r="K30" t="s">
        <v>174</v>
      </c>
      <c r="L30" t="str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/>
      </c>
      <c r="M30" t="str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/>
      </c>
      <c r="N30" t="str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/>
      </c>
      <c r="O30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5</v>
      </c>
      <c r="P30" t="s">
        <v>224</v>
      </c>
      <c r="Q30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10</v>
      </c>
      <c r="R30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5</v>
      </c>
      <c r="S30" t="s">
        <v>224</v>
      </c>
      <c r="T30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10</v>
      </c>
      <c r="U30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5</v>
      </c>
      <c r="V30" t="s">
        <v>226</v>
      </c>
      <c r="W30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0</v>
      </c>
      <c r="X30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0</v>
      </c>
      <c r="Y30" t="s">
        <v>159</v>
      </c>
      <c r="Z30" t="s">
        <v>294</v>
      </c>
    </row>
    <row r="31" spans="1:26" x14ac:dyDescent="0.4">
      <c r="A31" t="s">
        <v>76</v>
      </c>
      <c r="B31" t="s">
        <v>77</v>
      </c>
      <c r="C31" t="s">
        <v>164</v>
      </c>
      <c r="D31" t="s">
        <v>49</v>
      </c>
      <c r="E31" t="s">
        <v>78</v>
      </c>
      <c r="F31">
        <f>LEN(Attack_Leaf_Matrix[[#This Row],[Attack Trees]]) - LEN(SUBSTITUTE(Attack_Leaf_Matrix[[#This Row],[Attack Trees]], ",", "")) +1</f>
        <v>1</v>
      </c>
      <c r="G31">
        <f>LEN(Attack_Leaf_Matrix[[#This Row],[Risk classes]]) - LEN(SUBSTITUTE(Attack_Leaf_Matrix[[#This Row],[Risk classes]], ",", "")) +1</f>
        <v>1</v>
      </c>
      <c r="H31" t="s">
        <v>221</v>
      </c>
      <c r="I31" t="s">
        <v>165</v>
      </c>
      <c r="J31" t="s">
        <v>165</v>
      </c>
      <c r="K31" t="s">
        <v>175</v>
      </c>
      <c r="L31" t="str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/>
      </c>
      <c r="M31" t="str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/>
      </c>
      <c r="N31" t="str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/>
      </c>
      <c r="O31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10</v>
      </c>
      <c r="P31" t="s">
        <v>224</v>
      </c>
      <c r="Q31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10</v>
      </c>
      <c r="R31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10</v>
      </c>
      <c r="S31" t="s">
        <v>224</v>
      </c>
      <c r="T31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10</v>
      </c>
      <c r="U31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10</v>
      </c>
      <c r="V31" t="s">
        <v>226</v>
      </c>
      <c r="W31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0</v>
      </c>
      <c r="X31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2</v>
      </c>
      <c r="Y31" t="s">
        <v>150</v>
      </c>
      <c r="Z31" t="s">
        <v>294</v>
      </c>
    </row>
    <row r="32" spans="1:26" x14ac:dyDescent="0.4">
      <c r="A32" t="s">
        <v>79</v>
      </c>
      <c r="B32" t="s">
        <v>80</v>
      </c>
      <c r="C32" t="s">
        <v>164</v>
      </c>
      <c r="D32" t="s">
        <v>49</v>
      </c>
      <c r="E32" t="s">
        <v>81</v>
      </c>
      <c r="F32">
        <f>LEN(Attack_Leaf_Matrix[[#This Row],[Attack Trees]]) - LEN(SUBSTITUTE(Attack_Leaf_Matrix[[#This Row],[Attack Trees]], ",", "")) +1</f>
        <v>1</v>
      </c>
      <c r="G32">
        <f>LEN(Attack_Leaf_Matrix[[#This Row],[Risk classes]]) - LEN(SUBSTITUTE(Attack_Leaf_Matrix[[#This Row],[Risk classes]], ",", "")) +1</f>
        <v>2</v>
      </c>
      <c r="H32" t="s">
        <v>221</v>
      </c>
      <c r="I32" t="s">
        <v>165</v>
      </c>
      <c r="J32" t="s">
        <v>165</v>
      </c>
      <c r="K32" t="s">
        <v>171</v>
      </c>
      <c r="L32" t="str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/>
      </c>
      <c r="M32" t="str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/>
      </c>
      <c r="N32" t="str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/>
      </c>
      <c r="O32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8</v>
      </c>
      <c r="P32" t="s">
        <v>224</v>
      </c>
      <c r="Q32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10</v>
      </c>
      <c r="R32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8</v>
      </c>
      <c r="S32" t="s">
        <v>225</v>
      </c>
      <c r="T32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5</v>
      </c>
      <c r="U32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5</v>
      </c>
      <c r="V32" t="s">
        <v>226</v>
      </c>
      <c r="W32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0</v>
      </c>
      <c r="X32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2</v>
      </c>
      <c r="Y32" t="s">
        <v>157</v>
      </c>
      <c r="Z32" t="s">
        <v>294</v>
      </c>
    </row>
    <row r="33" spans="1:26" x14ac:dyDescent="0.4">
      <c r="A33" t="s">
        <v>82</v>
      </c>
      <c r="B33" t="s">
        <v>83</v>
      </c>
      <c r="C33" t="s">
        <v>163</v>
      </c>
      <c r="D33" t="s">
        <v>84</v>
      </c>
      <c r="E33" t="s">
        <v>23</v>
      </c>
      <c r="F33">
        <f>LEN(Attack_Leaf_Matrix[[#This Row],[Attack Trees]]) - LEN(SUBSTITUTE(Attack_Leaf_Matrix[[#This Row],[Attack Trees]], ",", "")) +1</f>
        <v>1</v>
      </c>
      <c r="G33">
        <f>LEN(Attack_Leaf_Matrix[[#This Row],[Risk classes]]) - LEN(SUBSTITUTE(Attack_Leaf_Matrix[[#This Row],[Risk classes]], ",", "")) +1</f>
        <v>1</v>
      </c>
      <c r="H33" t="s">
        <v>165</v>
      </c>
      <c r="I33" t="s">
        <v>175</v>
      </c>
      <c r="J33" t="s">
        <v>172</v>
      </c>
      <c r="K33" t="s">
        <v>174</v>
      </c>
      <c r="L33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>10</v>
      </c>
      <c r="M33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>2</v>
      </c>
      <c r="N33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>5</v>
      </c>
      <c r="O33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5</v>
      </c>
      <c r="P33" t="s">
        <v>223</v>
      </c>
      <c r="Q33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5</v>
      </c>
      <c r="R33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5</v>
      </c>
      <c r="S33" t="s">
        <v>223</v>
      </c>
      <c r="T33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5</v>
      </c>
      <c r="U33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5</v>
      </c>
      <c r="V33" t="s">
        <v>223</v>
      </c>
      <c r="W33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5</v>
      </c>
      <c r="X33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5</v>
      </c>
    </row>
    <row r="34" spans="1:26" x14ac:dyDescent="0.4">
      <c r="A34" t="s">
        <v>85</v>
      </c>
      <c r="B34" t="s">
        <v>86</v>
      </c>
      <c r="C34" t="s">
        <v>164</v>
      </c>
      <c r="D34" t="s">
        <v>84</v>
      </c>
      <c r="E34" t="s">
        <v>73</v>
      </c>
      <c r="F34">
        <f>LEN(Attack_Leaf_Matrix[[#This Row],[Attack Trees]]) - LEN(SUBSTITUTE(Attack_Leaf_Matrix[[#This Row],[Attack Trees]], ",", "")) +1</f>
        <v>1</v>
      </c>
      <c r="G34">
        <f>LEN(Attack_Leaf_Matrix[[#This Row],[Risk classes]]) - LEN(SUBSTITUTE(Attack_Leaf_Matrix[[#This Row],[Risk classes]], ",", "")) +1</f>
        <v>2</v>
      </c>
      <c r="H34" t="s">
        <v>222</v>
      </c>
      <c r="I34" t="s">
        <v>165</v>
      </c>
      <c r="J34" t="s">
        <v>165</v>
      </c>
      <c r="K34" t="s">
        <v>171</v>
      </c>
      <c r="L34" t="str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/>
      </c>
      <c r="M34" t="str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/>
      </c>
      <c r="N34" t="str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/>
      </c>
      <c r="O34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8</v>
      </c>
      <c r="P34" t="s">
        <v>224</v>
      </c>
      <c r="Q34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10</v>
      </c>
      <c r="R34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8</v>
      </c>
      <c r="S34" t="s">
        <v>224</v>
      </c>
      <c r="T34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10</v>
      </c>
      <c r="U34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8</v>
      </c>
      <c r="V34" t="s">
        <v>226</v>
      </c>
      <c r="W34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0</v>
      </c>
      <c r="X34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2</v>
      </c>
      <c r="Y34" t="s">
        <v>151</v>
      </c>
      <c r="Z34" t="s">
        <v>294</v>
      </c>
    </row>
    <row r="35" spans="1:26" x14ac:dyDescent="0.4">
      <c r="A35" t="s">
        <v>87</v>
      </c>
      <c r="B35" t="s">
        <v>88</v>
      </c>
      <c r="C35" t="s">
        <v>164</v>
      </c>
      <c r="D35" t="s">
        <v>84</v>
      </c>
      <c r="E35" t="s">
        <v>73</v>
      </c>
      <c r="F35">
        <f>LEN(Attack_Leaf_Matrix[[#This Row],[Attack Trees]]) - LEN(SUBSTITUTE(Attack_Leaf_Matrix[[#This Row],[Attack Trees]], ",", "")) +1</f>
        <v>1</v>
      </c>
      <c r="G35">
        <f>LEN(Attack_Leaf_Matrix[[#This Row],[Risk classes]]) - LEN(SUBSTITUTE(Attack_Leaf_Matrix[[#This Row],[Risk classes]], ",", "")) +1</f>
        <v>2</v>
      </c>
      <c r="H35" t="s">
        <v>221</v>
      </c>
      <c r="I35" t="s">
        <v>165</v>
      </c>
      <c r="J35" t="s">
        <v>165</v>
      </c>
      <c r="K35" t="s">
        <v>175</v>
      </c>
      <c r="L35" t="str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/>
      </c>
      <c r="M35" t="str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/>
      </c>
      <c r="N35" t="str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/>
      </c>
      <c r="O35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10</v>
      </c>
      <c r="P35" t="s">
        <v>224</v>
      </c>
      <c r="Q35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10</v>
      </c>
      <c r="R35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10</v>
      </c>
      <c r="S35" t="s">
        <v>225</v>
      </c>
      <c r="T35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5</v>
      </c>
      <c r="U35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8</v>
      </c>
      <c r="V35" t="s">
        <v>226</v>
      </c>
      <c r="W35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0</v>
      </c>
      <c r="X35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2</v>
      </c>
      <c r="Y35" t="s">
        <v>151</v>
      </c>
      <c r="Z35" t="s">
        <v>294</v>
      </c>
    </row>
    <row r="36" spans="1:26" x14ac:dyDescent="0.4">
      <c r="A36" t="s">
        <v>89</v>
      </c>
      <c r="B36" t="s">
        <v>90</v>
      </c>
      <c r="C36" t="s">
        <v>164</v>
      </c>
      <c r="D36" t="s">
        <v>84</v>
      </c>
      <c r="E36" t="s">
        <v>23</v>
      </c>
      <c r="F36">
        <f>LEN(Attack_Leaf_Matrix[[#This Row],[Attack Trees]]) - LEN(SUBSTITUTE(Attack_Leaf_Matrix[[#This Row],[Attack Trees]], ",", "")) +1</f>
        <v>1</v>
      </c>
      <c r="G36">
        <f>LEN(Attack_Leaf_Matrix[[#This Row],[Risk classes]]) - LEN(SUBSTITUTE(Attack_Leaf_Matrix[[#This Row],[Risk classes]], ",", "")) +1</f>
        <v>1</v>
      </c>
      <c r="H36" t="s">
        <v>221</v>
      </c>
      <c r="I36" t="s">
        <v>165</v>
      </c>
      <c r="J36" t="s">
        <v>165</v>
      </c>
      <c r="K36" t="s">
        <v>171</v>
      </c>
      <c r="L36" t="str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/>
      </c>
      <c r="M36" t="str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/>
      </c>
      <c r="N36" t="str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/>
      </c>
      <c r="O36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8</v>
      </c>
      <c r="P36" t="s">
        <v>224</v>
      </c>
      <c r="Q36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10</v>
      </c>
      <c r="R36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8</v>
      </c>
      <c r="S36" t="s">
        <v>224</v>
      </c>
      <c r="T36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10</v>
      </c>
      <c r="U36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8</v>
      </c>
      <c r="V36" t="s">
        <v>226</v>
      </c>
      <c r="W36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0</v>
      </c>
      <c r="X36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2</v>
      </c>
      <c r="Y36" t="s">
        <v>151</v>
      </c>
      <c r="Z36" t="s">
        <v>294</v>
      </c>
    </row>
    <row r="37" spans="1:26" x14ac:dyDescent="0.4">
      <c r="A37" t="s">
        <v>91</v>
      </c>
      <c r="B37" t="s">
        <v>92</v>
      </c>
      <c r="C37" t="s">
        <v>163</v>
      </c>
      <c r="D37" t="s">
        <v>84</v>
      </c>
      <c r="E37" t="s">
        <v>23</v>
      </c>
      <c r="F37">
        <f>LEN(Attack_Leaf_Matrix[[#This Row],[Attack Trees]]) - LEN(SUBSTITUTE(Attack_Leaf_Matrix[[#This Row],[Attack Trees]], ",", "")) +1</f>
        <v>1</v>
      </c>
      <c r="G37">
        <f>LEN(Attack_Leaf_Matrix[[#This Row],[Risk classes]]) - LEN(SUBSTITUTE(Attack_Leaf_Matrix[[#This Row],[Risk classes]], ",", "")) +1</f>
        <v>1</v>
      </c>
      <c r="H37" t="s">
        <v>165</v>
      </c>
      <c r="I37" t="s">
        <v>171</v>
      </c>
      <c r="J37" t="s">
        <v>172</v>
      </c>
      <c r="K37" t="s">
        <v>174</v>
      </c>
      <c r="L37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>8</v>
      </c>
      <c r="M37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>2</v>
      </c>
      <c r="N37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>5</v>
      </c>
      <c r="O37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5</v>
      </c>
      <c r="P37" t="s">
        <v>223</v>
      </c>
      <c r="Q37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5</v>
      </c>
      <c r="R37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5</v>
      </c>
      <c r="S37" t="s">
        <v>223</v>
      </c>
      <c r="T37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5</v>
      </c>
      <c r="U37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5</v>
      </c>
      <c r="V37" t="s">
        <v>223</v>
      </c>
      <c r="W37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5</v>
      </c>
      <c r="X37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5</v>
      </c>
    </row>
    <row r="38" spans="1:26" x14ac:dyDescent="0.4">
      <c r="A38" t="s">
        <v>93</v>
      </c>
      <c r="B38" t="s">
        <v>94</v>
      </c>
      <c r="C38" t="s">
        <v>164</v>
      </c>
      <c r="D38" t="s">
        <v>84</v>
      </c>
      <c r="E38" t="s">
        <v>95</v>
      </c>
      <c r="F38">
        <f>LEN(Attack_Leaf_Matrix[[#This Row],[Attack Trees]]) - LEN(SUBSTITUTE(Attack_Leaf_Matrix[[#This Row],[Attack Trees]], ",", "")) +1</f>
        <v>1</v>
      </c>
      <c r="G38">
        <f>LEN(Attack_Leaf_Matrix[[#This Row],[Risk classes]]) - LEN(SUBSTITUTE(Attack_Leaf_Matrix[[#This Row],[Risk classes]], ",", "")) +1</f>
        <v>2</v>
      </c>
      <c r="H38" t="s">
        <v>221</v>
      </c>
      <c r="I38" t="s">
        <v>165</v>
      </c>
      <c r="J38" t="s">
        <v>165</v>
      </c>
      <c r="K38" t="s">
        <v>174</v>
      </c>
      <c r="L38" t="str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/>
      </c>
      <c r="M38" t="str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/>
      </c>
      <c r="N38" t="str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/>
      </c>
      <c r="O38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5</v>
      </c>
      <c r="P38" t="s">
        <v>224</v>
      </c>
      <c r="Q38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10</v>
      </c>
      <c r="R38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5</v>
      </c>
      <c r="S38" t="s">
        <v>225</v>
      </c>
      <c r="T38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5</v>
      </c>
      <c r="U38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5</v>
      </c>
      <c r="V38" t="s">
        <v>226</v>
      </c>
      <c r="W38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0</v>
      </c>
      <c r="X38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0</v>
      </c>
      <c r="Y38" t="s">
        <v>151</v>
      </c>
      <c r="Z38" t="s">
        <v>294</v>
      </c>
    </row>
    <row r="39" spans="1:26" x14ac:dyDescent="0.4">
      <c r="A39" t="s">
        <v>96</v>
      </c>
      <c r="B39" t="s">
        <v>97</v>
      </c>
      <c r="C39" t="s">
        <v>164</v>
      </c>
      <c r="D39" t="s">
        <v>84</v>
      </c>
      <c r="E39" t="s">
        <v>23</v>
      </c>
      <c r="F39">
        <f>LEN(Attack_Leaf_Matrix[[#This Row],[Attack Trees]]) - LEN(SUBSTITUTE(Attack_Leaf_Matrix[[#This Row],[Attack Trees]], ",", "")) +1</f>
        <v>1</v>
      </c>
      <c r="G39">
        <f>LEN(Attack_Leaf_Matrix[[#This Row],[Risk classes]]) - LEN(SUBSTITUTE(Attack_Leaf_Matrix[[#This Row],[Risk classes]], ",", "")) +1</f>
        <v>1</v>
      </c>
      <c r="H39" t="s">
        <v>221</v>
      </c>
      <c r="I39" t="s">
        <v>165</v>
      </c>
      <c r="J39" t="s">
        <v>165</v>
      </c>
      <c r="K39" t="s">
        <v>174</v>
      </c>
      <c r="L39" t="str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/>
      </c>
      <c r="M39" t="str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/>
      </c>
      <c r="N39" t="str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/>
      </c>
      <c r="O39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5</v>
      </c>
      <c r="P39" t="s">
        <v>224</v>
      </c>
      <c r="Q39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10</v>
      </c>
      <c r="R39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5</v>
      </c>
      <c r="S39" t="s">
        <v>224</v>
      </c>
      <c r="T39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10</v>
      </c>
      <c r="U39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5</v>
      </c>
      <c r="V39" t="s">
        <v>226</v>
      </c>
      <c r="W39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0</v>
      </c>
      <c r="X39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0</v>
      </c>
      <c r="Y39" t="s">
        <v>151</v>
      </c>
      <c r="Z39" t="s">
        <v>294</v>
      </c>
    </row>
    <row r="40" spans="1:26" x14ac:dyDescent="0.4">
      <c r="A40" t="s">
        <v>98</v>
      </c>
      <c r="B40" t="s">
        <v>99</v>
      </c>
      <c r="C40" t="s">
        <v>164</v>
      </c>
      <c r="D40" t="s">
        <v>84</v>
      </c>
      <c r="E40" t="s">
        <v>23</v>
      </c>
      <c r="F40">
        <f>LEN(Attack_Leaf_Matrix[[#This Row],[Attack Trees]]) - LEN(SUBSTITUTE(Attack_Leaf_Matrix[[#This Row],[Attack Trees]], ",", "")) +1</f>
        <v>1</v>
      </c>
      <c r="G40">
        <f>LEN(Attack_Leaf_Matrix[[#This Row],[Risk classes]]) - LEN(SUBSTITUTE(Attack_Leaf_Matrix[[#This Row],[Risk classes]], ",", "")) +1</f>
        <v>1</v>
      </c>
      <c r="H40" t="s">
        <v>221</v>
      </c>
      <c r="I40" t="s">
        <v>165</v>
      </c>
      <c r="J40" t="s">
        <v>165</v>
      </c>
      <c r="K40" t="s">
        <v>174</v>
      </c>
      <c r="L40" t="str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/>
      </c>
      <c r="M40" t="str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/>
      </c>
      <c r="N40" t="str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/>
      </c>
      <c r="O40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5</v>
      </c>
      <c r="P40" t="s">
        <v>224</v>
      </c>
      <c r="Q40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10</v>
      </c>
      <c r="R40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5</v>
      </c>
      <c r="S40" t="s">
        <v>224</v>
      </c>
      <c r="T40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10</v>
      </c>
      <c r="U40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5</v>
      </c>
      <c r="V40" t="s">
        <v>226</v>
      </c>
      <c r="W40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0</v>
      </c>
      <c r="X40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0</v>
      </c>
      <c r="Y40" t="s">
        <v>151</v>
      </c>
      <c r="Z40" t="s">
        <v>294</v>
      </c>
    </row>
    <row r="41" spans="1:26" x14ac:dyDescent="0.4">
      <c r="A41" t="s">
        <v>100</v>
      </c>
      <c r="B41" t="s">
        <v>101</v>
      </c>
      <c r="C41" t="s">
        <v>163</v>
      </c>
      <c r="D41" t="s">
        <v>84</v>
      </c>
      <c r="E41" t="s">
        <v>23</v>
      </c>
      <c r="F41">
        <f>LEN(Attack_Leaf_Matrix[[#This Row],[Attack Trees]]) - LEN(SUBSTITUTE(Attack_Leaf_Matrix[[#This Row],[Attack Trees]], ",", "")) +1</f>
        <v>1</v>
      </c>
      <c r="G41">
        <f>LEN(Attack_Leaf_Matrix[[#This Row],[Risk classes]]) - LEN(SUBSTITUTE(Attack_Leaf_Matrix[[#This Row],[Risk classes]], ",", "")) +1</f>
        <v>1</v>
      </c>
      <c r="H41" t="s">
        <v>165</v>
      </c>
      <c r="I41" t="s">
        <v>174</v>
      </c>
      <c r="J41" t="s">
        <v>174</v>
      </c>
      <c r="K41" t="s">
        <v>171</v>
      </c>
      <c r="L41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>5</v>
      </c>
      <c r="M41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>5</v>
      </c>
      <c r="N41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>5</v>
      </c>
      <c r="O41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8</v>
      </c>
      <c r="P41" t="s">
        <v>223</v>
      </c>
      <c r="Q41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5</v>
      </c>
      <c r="R41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5</v>
      </c>
      <c r="S41" t="s">
        <v>223</v>
      </c>
      <c r="T41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5</v>
      </c>
      <c r="U41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5</v>
      </c>
      <c r="V41" t="s">
        <v>223</v>
      </c>
      <c r="W41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5</v>
      </c>
      <c r="X41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5</v>
      </c>
    </row>
    <row r="42" spans="1:26" x14ac:dyDescent="0.4">
      <c r="A42" t="s">
        <v>102</v>
      </c>
      <c r="B42" t="s">
        <v>103</v>
      </c>
      <c r="C42" t="s">
        <v>164</v>
      </c>
      <c r="D42" t="s">
        <v>84</v>
      </c>
      <c r="E42" t="s">
        <v>23</v>
      </c>
      <c r="F42">
        <f>LEN(Attack_Leaf_Matrix[[#This Row],[Attack Trees]]) - LEN(SUBSTITUTE(Attack_Leaf_Matrix[[#This Row],[Attack Trees]], ",", "")) +1</f>
        <v>1</v>
      </c>
      <c r="G42">
        <f>LEN(Attack_Leaf_Matrix[[#This Row],[Risk classes]]) - LEN(SUBSTITUTE(Attack_Leaf_Matrix[[#This Row],[Risk classes]], ",", "")) +1</f>
        <v>1</v>
      </c>
      <c r="H42" t="s">
        <v>221</v>
      </c>
      <c r="I42" t="s">
        <v>165</v>
      </c>
      <c r="J42" t="s">
        <v>165</v>
      </c>
      <c r="K42" t="s">
        <v>172</v>
      </c>
      <c r="L42" t="str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/>
      </c>
      <c r="M42" t="str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/>
      </c>
      <c r="N42" t="str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/>
      </c>
      <c r="O42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2</v>
      </c>
      <c r="P42" t="s">
        <v>224</v>
      </c>
      <c r="Q42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10</v>
      </c>
      <c r="R42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2</v>
      </c>
      <c r="S42" t="s">
        <v>224</v>
      </c>
      <c r="T42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10</v>
      </c>
      <c r="U42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2</v>
      </c>
      <c r="V42" t="s">
        <v>226</v>
      </c>
      <c r="W42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0</v>
      </c>
      <c r="X42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0</v>
      </c>
      <c r="Y42" t="s">
        <v>151</v>
      </c>
      <c r="Z42" t="s">
        <v>294</v>
      </c>
    </row>
    <row r="43" spans="1:26" x14ac:dyDescent="0.4">
      <c r="A43" t="s">
        <v>104</v>
      </c>
      <c r="B43" t="s">
        <v>105</v>
      </c>
      <c r="C43" t="s">
        <v>164</v>
      </c>
      <c r="D43" t="s">
        <v>84</v>
      </c>
      <c r="E43" t="s">
        <v>23</v>
      </c>
      <c r="F43">
        <f>LEN(Attack_Leaf_Matrix[[#This Row],[Attack Trees]]) - LEN(SUBSTITUTE(Attack_Leaf_Matrix[[#This Row],[Attack Trees]], ",", "")) +1</f>
        <v>1</v>
      </c>
      <c r="G43">
        <f>LEN(Attack_Leaf_Matrix[[#This Row],[Risk classes]]) - LEN(SUBSTITUTE(Attack_Leaf_Matrix[[#This Row],[Risk classes]], ",", "")) +1</f>
        <v>1</v>
      </c>
      <c r="H43" t="s">
        <v>221</v>
      </c>
      <c r="I43" t="s">
        <v>165</v>
      </c>
      <c r="J43" t="s">
        <v>165</v>
      </c>
      <c r="K43" t="s">
        <v>174</v>
      </c>
      <c r="L43" t="str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/>
      </c>
      <c r="M43" t="str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/>
      </c>
      <c r="N43" t="str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/>
      </c>
      <c r="O43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5</v>
      </c>
      <c r="P43" t="s">
        <v>224</v>
      </c>
      <c r="Q43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10</v>
      </c>
      <c r="R43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5</v>
      </c>
      <c r="S43" t="s">
        <v>224</v>
      </c>
      <c r="T43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10</v>
      </c>
      <c r="U43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5</v>
      </c>
      <c r="V43" t="s">
        <v>226</v>
      </c>
      <c r="W43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0</v>
      </c>
      <c r="X43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0</v>
      </c>
      <c r="Y43" t="s">
        <v>150</v>
      </c>
      <c r="Z43" t="s">
        <v>294</v>
      </c>
    </row>
    <row r="44" spans="1:26" x14ac:dyDescent="0.4">
      <c r="A44" t="s">
        <v>106</v>
      </c>
      <c r="B44" t="s">
        <v>107</v>
      </c>
      <c r="C44" t="s">
        <v>164</v>
      </c>
      <c r="D44" t="s">
        <v>84</v>
      </c>
      <c r="E44" t="s">
        <v>23</v>
      </c>
      <c r="F44">
        <f>LEN(Attack_Leaf_Matrix[[#This Row],[Attack Trees]]) - LEN(SUBSTITUTE(Attack_Leaf_Matrix[[#This Row],[Attack Trees]], ",", "")) +1</f>
        <v>1</v>
      </c>
      <c r="G44">
        <f>LEN(Attack_Leaf_Matrix[[#This Row],[Risk classes]]) - LEN(SUBSTITUTE(Attack_Leaf_Matrix[[#This Row],[Risk classes]], ",", "")) +1</f>
        <v>1</v>
      </c>
      <c r="H44" t="s">
        <v>221</v>
      </c>
      <c r="I44" t="s">
        <v>165</v>
      </c>
      <c r="J44" t="s">
        <v>165</v>
      </c>
      <c r="K44" t="s">
        <v>171</v>
      </c>
      <c r="L44" t="str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/>
      </c>
      <c r="M44" t="str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/>
      </c>
      <c r="N44" t="str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/>
      </c>
      <c r="O44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8</v>
      </c>
      <c r="P44" t="s">
        <v>224</v>
      </c>
      <c r="Q44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10</v>
      </c>
      <c r="R44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8</v>
      </c>
      <c r="S44" t="s">
        <v>224</v>
      </c>
      <c r="T44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10</v>
      </c>
      <c r="U44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8</v>
      </c>
      <c r="V44" t="s">
        <v>226</v>
      </c>
      <c r="W44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0</v>
      </c>
      <c r="X44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2</v>
      </c>
      <c r="Y44" t="s">
        <v>152</v>
      </c>
      <c r="Z44" t="s">
        <v>294</v>
      </c>
    </row>
    <row r="45" spans="1:26" x14ac:dyDescent="0.4">
      <c r="A45" t="s">
        <v>108</v>
      </c>
      <c r="B45" t="s">
        <v>109</v>
      </c>
      <c r="C45" t="s">
        <v>163</v>
      </c>
      <c r="D45" t="s">
        <v>110</v>
      </c>
      <c r="E45" t="s">
        <v>111</v>
      </c>
      <c r="F45">
        <f>LEN(Attack_Leaf_Matrix[[#This Row],[Attack Trees]]) - LEN(SUBSTITUTE(Attack_Leaf_Matrix[[#This Row],[Attack Trees]], ",", "")) +1</f>
        <v>1</v>
      </c>
      <c r="G45">
        <f>LEN(Attack_Leaf_Matrix[[#This Row],[Risk classes]]) - LEN(SUBSTITUTE(Attack_Leaf_Matrix[[#This Row],[Risk classes]], ",", "")) +1</f>
        <v>1</v>
      </c>
      <c r="H45" t="s">
        <v>165</v>
      </c>
      <c r="I45" t="s">
        <v>172</v>
      </c>
      <c r="J45" t="s">
        <v>174</v>
      </c>
      <c r="K45" t="s">
        <v>174</v>
      </c>
      <c r="L45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>2</v>
      </c>
      <c r="M45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>5</v>
      </c>
      <c r="N45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>2</v>
      </c>
      <c r="O45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5</v>
      </c>
      <c r="P45" t="s">
        <v>165</v>
      </c>
      <c r="Q45" t="str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/>
      </c>
      <c r="R45" t="str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/>
      </c>
      <c r="S45" t="s">
        <v>165</v>
      </c>
      <c r="T45" t="str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/>
      </c>
      <c r="U45" t="str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/>
      </c>
      <c r="V45" t="s">
        <v>223</v>
      </c>
      <c r="W45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2</v>
      </c>
      <c r="X45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2</v>
      </c>
    </row>
    <row r="46" spans="1:26" x14ac:dyDescent="0.4">
      <c r="A46" t="s">
        <v>112</v>
      </c>
      <c r="B46" t="s">
        <v>113</v>
      </c>
      <c r="C46" t="s">
        <v>163</v>
      </c>
      <c r="D46" t="s">
        <v>110</v>
      </c>
      <c r="E46" t="s">
        <v>111</v>
      </c>
      <c r="F46">
        <f>LEN(Attack_Leaf_Matrix[[#This Row],[Attack Trees]]) - LEN(SUBSTITUTE(Attack_Leaf_Matrix[[#This Row],[Attack Trees]], ",", "")) +1</f>
        <v>1</v>
      </c>
      <c r="G46">
        <f>LEN(Attack_Leaf_Matrix[[#This Row],[Risk classes]]) - LEN(SUBSTITUTE(Attack_Leaf_Matrix[[#This Row],[Risk classes]], ",", "")) +1</f>
        <v>1</v>
      </c>
      <c r="H46" t="s">
        <v>165</v>
      </c>
      <c r="I46" t="s">
        <v>174</v>
      </c>
      <c r="J46" t="s">
        <v>174</v>
      </c>
      <c r="K46" t="s">
        <v>174</v>
      </c>
      <c r="L46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>5</v>
      </c>
      <c r="M46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>5</v>
      </c>
      <c r="N46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>5</v>
      </c>
      <c r="O46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5</v>
      </c>
      <c r="P46" t="s">
        <v>165</v>
      </c>
      <c r="Q46" t="str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/>
      </c>
      <c r="R46" t="str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/>
      </c>
      <c r="S46" t="s">
        <v>165</v>
      </c>
      <c r="T46" t="str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/>
      </c>
      <c r="U46" t="str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/>
      </c>
      <c r="V46" t="s">
        <v>223</v>
      </c>
      <c r="W46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5</v>
      </c>
      <c r="X46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5</v>
      </c>
    </row>
    <row r="47" spans="1:26" x14ac:dyDescent="0.4">
      <c r="A47" t="s">
        <v>114</v>
      </c>
      <c r="B47" t="s">
        <v>115</v>
      </c>
      <c r="C47" t="s">
        <v>163</v>
      </c>
      <c r="D47" t="s">
        <v>110</v>
      </c>
      <c r="E47" t="s">
        <v>111</v>
      </c>
      <c r="F47">
        <f>LEN(Attack_Leaf_Matrix[[#This Row],[Attack Trees]]) - LEN(SUBSTITUTE(Attack_Leaf_Matrix[[#This Row],[Attack Trees]], ",", "")) +1</f>
        <v>1</v>
      </c>
      <c r="G47">
        <f>LEN(Attack_Leaf_Matrix[[#This Row],[Risk classes]]) - LEN(SUBSTITUTE(Attack_Leaf_Matrix[[#This Row],[Risk classes]], ",", "")) +1</f>
        <v>1</v>
      </c>
      <c r="H47" t="s">
        <v>165</v>
      </c>
      <c r="I47" t="s">
        <v>174</v>
      </c>
      <c r="J47" t="s">
        <v>174</v>
      </c>
      <c r="K47" t="s">
        <v>174</v>
      </c>
      <c r="L47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>5</v>
      </c>
      <c r="M47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>5</v>
      </c>
      <c r="N47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>5</v>
      </c>
      <c r="O47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5</v>
      </c>
      <c r="P47" t="s">
        <v>165</v>
      </c>
      <c r="Q47" t="str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/>
      </c>
      <c r="R47" t="str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/>
      </c>
      <c r="S47" t="s">
        <v>165</v>
      </c>
      <c r="T47" t="str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/>
      </c>
      <c r="U47" t="str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/>
      </c>
      <c r="V47" t="s">
        <v>223</v>
      </c>
      <c r="W47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5</v>
      </c>
      <c r="X47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5</v>
      </c>
    </row>
    <row r="48" spans="1:26" x14ac:dyDescent="0.4">
      <c r="A48" t="s">
        <v>116</v>
      </c>
      <c r="B48" t="s">
        <v>117</v>
      </c>
      <c r="C48" t="s">
        <v>163</v>
      </c>
      <c r="D48" t="s">
        <v>110</v>
      </c>
      <c r="E48" t="s">
        <v>111</v>
      </c>
      <c r="F48">
        <f>LEN(Attack_Leaf_Matrix[[#This Row],[Attack Trees]]) - LEN(SUBSTITUTE(Attack_Leaf_Matrix[[#This Row],[Attack Trees]], ",", "")) +1</f>
        <v>1</v>
      </c>
      <c r="G48">
        <f>LEN(Attack_Leaf_Matrix[[#This Row],[Risk classes]]) - LEN(SUBSTITUTE(Attack_Leaf_Matrix[[#This Row],[Risk classes]], ",", "")) +1</f>
        <v>1</v>
      </c>
      <c r="H48" t="s">
        <v>165</v>
      </c>
      <c r="I48" t="s">
        <v>174</v>
      </c>
      <c r="J48" t="s">
        <v>174</v>
      </c>
      <c r="K48" t="s">
        <v>171</v>
      </c>
      <c r="L48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>5</v>
      </c>
      <c r="M48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>5</v>
      </c>
      <c r="N48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>5</v>
      </c>
      <c r="O48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8</v>
      </c>
      <c r="P48" t="s">
        <v>165</v>
      </c>
      <c r="Q48" t="str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/>
      </c>
      <c r="R48" t="str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/>
      </c>
      <c r="S48" t="s">
        <v>165</v>
      </c>
      <c r="T48" t="str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/>
      </c>
      <c r="U48" t="str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/>
      </c>
      <c r="V48" t="s">
        <v>223</v>
      </c>
      <c r="W48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5</v>
      </c>
      <c r="X48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5</v>
      </c>
    </row>
    <row r="49" spans="1:26" x14ac:dyDescent="0.4">
      <c r="A49" t="s">
        <v>118</v>
      </c>
      <c r="B49" t="s">
        <v>119</v>
      </c>
      <c r="C49" t="s">
        <v>163</v>
      </c>
      <c r="D49" t="s">
        <v>110</v>
      </c>
      <c r="E49" t="s">
        <v>111</v>
      </c>
      <c r="F49">
        <f>LEN(Attack_Leaf_Matrix[[#This Row],[Attack Trees]]) - LEN(SUBSTITUTE(Attack_Leaf_Matrix[[#This Row],[Attack Trees]], ",", "")) +1</f>
        <v>1</v>
      </c>
      <c r="G49">
        <f>LEN(Attack_Leaf_Matrix[[#This Row],[Risk classes]]) - LEN(SUBSTITUTE(Attack_Leaf_Matrix[[#This Row],[Risk classes]], ",", "")) +1</f>
        <v>1</v>
      </c>
      <c r="H49" t="s">
        <v>165</v>
      </c>
      <c r="I49" t="s">
        <v>176</v>
      </c>
      <c r="J49" t="s">
        <v>174</v>
      </c>
      <c r="K49" t="s">
        <v>174</v>
      </c>
      <c r="L49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>0</v>
      </c>
      <c r="M49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>5</v>
      </c>
      <c r="N49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>2</v>
      </c>
      <c r="O49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5</v>
      </c>
      <c r="P49" t="s">
        <v>165</v>
      </c>
      <c r="Q49" t="str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/>
      </c>
      <c r="R49" t="str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/>
      </c>
      <c r="S49" t="s">
        <v>165</v>
      </c>
      <c r="T49" t="str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/>
      </c>
      <c r="U49" t="str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/>
      </c>
      <c r="V49" t="s">
        <v>223</v>
      </c>
      <c r="W49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2</v>
      </c>
      <c r="X49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2</v>
      </c>
    </row>
    <row r="50" spans="1:26" x14ac:dyDescent="0.4">
      <c r="A50" t="s">
        <v>120</v>
      </c>
      <c r="B50" t="s">
        <v>121</v>
      </c>
      <c r="C50" t="s">
        <v>163</v>
      </c>
      <c r="D50" t="s">
        <v>110</v>
      </c>
      <c r="E50" t="s">
        <v>111</v>
      </c>
      <c r="F50">
        <f>LEN(Attack_Leaf_Matrix[[#This Row],[Attack Trees]]) - LEN(SUBSTITUTE(Attack_Leaf_Matrix[[#This Row],[Attack Trees]], ",", "")) +1</f>
        <v>1</v>
      </c>
      <c r="G50">
        <f>LEN(Attack_Leaf_Matrix[[#This Row],[Risk classes]]) - LEN(SUBSTITUTE(Attack_Leaf_Matrix[[#This Row],[Risk classes]], ",", "")) +1</f>
        <v>1</v>
      </c>
      <c r="H50" t="s">
        <v>165</v>
      </c>
      <c r="I50" t="s">
        <v>174</v>
      </c>
      <c r="J50" t="s">
        <v>172</v>
      </c>
      <c r="K50" t="s">
        <v>172</v>
      </c>
      <c r="L50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>5</v>
      </c>
      <c r="M50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>2</v>
      </c>
      <c r="N50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>2</v>
      </c>
      <c r="O50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2</v>
      </c>
      <c r="P50" t="s">
        <v>165</v>
      </c>
      <c r="Q50" t="str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/>
      </c>
      <c r="R50" t="str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/>
      </c>
      <c r="S50" t="s">
        <v>165</v>
      </c>
      <c r="T50" t="str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/>
      </c>
      <c r="U50" t="str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/>
      </c>
      <c r="V50" t="s">
        <v>223</v>
      </c>
      <c r="W50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2</v>
      </c>
      <c r="X50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2</v>
      </c>
    </row>
    <row r="51" spans="1:26" x14ac:dyDescent="0.4">
      <c r="A51" t="s">
        <v>122</v>
      </c>
      <c r="B51" t="s">
        <v>123</v>
      </c>
      <c r="C51" t="s">
        <v>163</v>
      </c>
      <c r="D51" t="s">
        <v>110</v>
      </c>
      <c r="E51" t="s">
        <v>111</v>
      </c>
      <c r="F51">
        <f>LEN(Attack_Leaf_Matrix[[#This Row],[Attack Trees]]) - LEN(SUBSTITUTE(Attack_Leaf_Matrix[[#This Row],[Attack Trees]], ",", "")) +1</f>
        <v>1</v>
      </c>
      <c r="G51">
        <f>LEN(Attack_Leaf_Matrix[[#This Row],[Risk classes]]) - LEN(SUBSTITUTE(Attack_Leaf_Matrix[[#This Row],[Risk classes]], ",", "")) +1</f>
        <v>1</v>
      </c>
      <c r="H51" t="s">
        <v>165</v>
      </c>
      <c r="I51" t="s">
        <v>175</v>
      </c>
      <c r="J51" t="s">
        <v>174</v>
      </c>
      <c r="K51" t="s">
        <v>174</v>
      </c>
      <c r="L51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>10</v>
      </c>
      <c r="M51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>5</v>
      </c>
      <c r="N51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>8</v>
      </c>
      <c r="O51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5</v>
      </c>
      <c r="P51" t="s">
        <v>165</v>
      </c>
      <c r="Q51" t="str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/>
      </c>
      <c r="R51" t="str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/>
      </c>
      <c r="S51" t="s">
        <v>165</v>
      </c>
      <c r="T51" t="str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/>
      </c>
      <c r="U51" t="str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/>
      </c>
      <c r="V51" t="s">
        <v>223</v>
      </c>
      <c r="W51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8</v>
      </c>
      <c r="X51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5</v>
      </c>
    </row>
    <row r="52" spans="1:26" x14ac:dyDescent="0.4">
      <c r="A52" t="s">
        <v>124</v>
      </c>
      <c r="B52" t="s">
        <v>125</v>
      </c>
      <c r="C52" t="s">
        <v>163</v>
      </c>
      <c r="D52" t="s">
        <v>110</v>
      </c>
      <c r="E52" t="s">
        <v>111</v>
      </c>
      <c r="F52">
        <f>LEN(Attack_Leaf_Matrix[[#This Row],[Attack Trees]]) - LEN(SUBSTITUTE(Attack_Leaf_Matrix[[#This Row],[Attack Trees]], ",", "")) +1</f>
        <v>1</v>
      </c>
      <c r="G52">
        <f>LEN(Attack_Leaf_Matrix[[#This Row],[Risk classes]]) - LEN(SUBSTITUTE(Attack_Leaf_Matrix[[#This Row],[Risk classes]], ",", "")) +1</f>
        <v>1</v>
      </c>
      <c r="H52" t="s">
        <v>165</v>
      </c>
      <c r="I52" t="s">
        <v>174</v>
      </c>
      <c r="J52" t="s">
        <v>174</v>
      </c>
      <c r="K52" t="s">
        <v>174</v>
      </c>
      <c r="L52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>5</v>
      </c>
      <c r="M52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>5</v>
      </c>
      <c r="N52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>5</v>
      </c>
      <c r="O52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5</v>
      </c>
      <c r="P52" t="s">
        <v>165</v>
      </c>
      <c r="Q52" t="str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/>
      </c>
      <c r="R52" t="str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/>
      </c>
      <c r="S52" t="s">
        <v>165</v>
      </c>
      <c r="T52" t="str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/>
      </c>
      <c r="U52" t="str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/>
      </c>
      <c r="V52" t="s">
        <v>223</v>
      </c>
      <c r="W52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5</v>
      </c>
      <c r="X52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5</v>
      </c>
    </row>
    <row r="53" spans="1:26" x14ac:dyDescent="0.4">
      <c r="A53" t="s">
        <v>126</v>
      </c>
      <c r="B53" t="s">
        <v>127</v>
      </c>
      <c r="C53" t="s">
        <v>164</v>
      </c>
      <c r="D53" t="s">
        <v>110</v>
      </c>
      <c r="E53" t="s">
        <v>111</v>
      </c>
      <c r="F53">
        <f>LEN(Attack_Leaf_Matrix[[#This Row],[Attack Trees]]) - LEN(SUBSTITUTE(Attack_Leaf_Matrix[[#This Row],[Attack Trees]], ",", "")) +1</f>
        <v>1</v>
      </c>
      <c r="G53">
        <f>LEN(Attack_Leaf_Matrix[[#This Row],[Risk classes]]) - LEN(SUBSTITUTE(Attack_Leaf_Matrix[[#This Row],[Risk classes]], ",", "")) +1</f>
        <v>1</v>
      </c>
      <c r="H53" t="s">
        <v>222</v>
      </c>
      <c r="I53" t="s">
        <v>165</v>
      </c>
      <c r="J53" t="s">
        <v>165</v>
      </c>
      <c r="K53" t="s">
        <v>174</v>
      </c>
      <c r="L53" t="str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/>
      </c>
      <c r="M53" t="str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/>
      </c>
      <c r="N53" t="str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/>
      </c>
      <c r="O53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5</v>
      </c>
      <c r="P53" t="s">
        <v>165</v>
      </c>
      <c r="Q53" t="str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/>
      </c>
      <c r="R53" t="str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/>
      </c>
      <c r="S53" t="s">
        <v>165</v>
      </c>
      <c r="T53" t="str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/>
      </c>
      <c r="U53" t="str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/>
      </c>
      <c r="V53" t="s">
        <v>224</v>
      </c>
      <c r="W53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10</v>
      </c>
      <c r="X53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5</v>
      </c>
      <c r="Y53" t="s">
        <v>227</v>
      </c>
      <c r="Z53" t="s">
        <v>294</v>
      </c>
    </row>
    <row r="54" spans="1:26" x14ac:dyDescent="0.4">
      <c r="A54" t="s">
        <v>128</v>
      </c>
      <c r="B54" t="s">
        <v>129</v>
      </c>
      <c r="C54" t="s">
        <v>164</v>
      </c>
      <c r="D54" t="s">
        <v>110</v>
      </c>
      <c r="E54" t="s">
        <v>111</v>
      </c>
      <c r="F54">
        <f>LEN(Attack_Leaf_Matrix[[#This Row],[Attack Trees]]) - LEN(SUBSTITUTE(Attack_Leaf_Matrix[[#This Row],[Attack Trees]], ",", "")) +1</f>
        <v>1</v>
      </c>
      <c r="G54">
        <f>LEN(Attack_Leaf_Matrix[[#This Row],[Risk classes]]) - LEN(SUBSTITUTE(Attack_Leaf_Matrix[[#This Row],[Risk classes]], ",", "")) +1</f>
        <v>1</v>
      </c>
      <c r="H54" t="s">
        <v>222</v>
      </c>
      <c r="I54" t="s">
        <v>165</v>
      </c>
      <c r="J54" t="s">
        <v>165</v>
      </c>
      <c r="K54" t="s">
        <v>174</v>
      </c>
      <c r="L54" t="str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/>
      </c>
      <c r="M54" t="str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/>
      </c>
      <c r="N54" t="str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/>
      </c>
      <c r="O54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5</v>
      </c>
      <c r="P54" t="s">
        <v>165</v>
      </c>
      <c r="Q54" t="str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/>
      </c>
      <c r="R54" t="str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/>
      </c>
      <c r="S54" t="s">
        <v>165</v>
      </c>
      <c r="T54" t="str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/>
      </c>
      <c r="U54" t="str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/>
      </c>
      <c r="V54" t="s">
        <v>225</v>
      </c>
      <c r="W54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5</v>
      </c>
      <c r="X54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5</v>
      </c>
      <c r="Y54" t="s">
        <v>152</v>
      </c>
      <c r="Z54" t="s">
        <v>294</v>
      </c>
    </row>
    <row r="55" spans="1:26" x14ac:dyDescent="0.4">
      <c r="A55" t="s">
        <v>130</v>
      </c>
      <c r="B55" t="s">
        <v>131</v>
      </c>
      <c r="C55" t="s">
        <v>163</v>
      </c>
      <c r="D55" t="s">
        <v>110</v>
      </c>
      <c r="E55" t="s">
        <v>132</v>
      </c>
      <c r="F55">
        <f>LEN(Attack_Leaf_Matrix[[#This Row],[Attack Trees]]) - LEN(SUBSTITUTE(Attack_Leaf_Matrix[[#This Row],[Attack Trees]], ",", "")) +1</f>
        <v>1</v>
      </c>
      <c r="G55">
        <f>LEN(Attack_Leaf_Matrix[[#This Row],[Risk classes]]) - LEN(SUBSTITUTE(Attack_Leaf_Matrix[[#This Row],[Risk classes]], ",", "")) +1</f>
        <v>2</v>
      </c>
      <c r="H55" t="s">
        <v>165</v>
      </c>
      <c r="I55" t="s">
        <v>171</v>
      </c>
      <c r="J55" t="s">
        <v>174</v>
      </c>
      <c r="K55" t="s">
        <v>171</v>
      </c>
      <c r="L55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>8</v>
      </c>
      <c r="M55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>5</v>
      </c>
      <c r="N55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>5</v>
      </c>
      <c r="O55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8</v>
      </c>
      <c r="P55" t="s">
        <v>165</v>
      </c>
      <c r="Q55" t="str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/>
      </c>
      <c r="R55" t="str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/>
      </c>
      <c r="S55" t="s">
        <v>165</v>
      </c>
      <c r="T55" t="str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/>
      </c>
      <c r="U55" t="str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/>
      </c>
      <c r="V55" t="s">
        <v>223</v>
      </c>
      <c r="W55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5</v>
      </c>
      <c r="X55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5</v>
      </c>
    </row>
    <row r="56" spans="1:26" x14ac:dyDescent="0.4">
      <c r="A56" t="s">
        <v>133</v>
      </c>
      <c r="B56" t="s">
        <v>134</v>
      </c>
      <c r="C56" t="s">
        <v>164</v>
      </c>
      <c r="D56" t="s">
        <v>110</v>
      </c>
      <c r="E56" t="s">
        <v>111</v>
      </c>
      <c r="F56">
        <f>LEN(Attack_Leaf_Matrix[[#This Row],[Attack Trees]]) - LEN(SUBSTITUTE(Attack_Leaf_Matrix[[#This Row],[Attack Trees]], ",", "")) +1</f>
        <v>1</v>
      </c>
      <c r="G56">
        <f>LEN(Attack_Leaf_Matrix[[#This Row],[Risk classes]]) - LEN(SUBSTITUTE(Attack_Leaf_Matrix[[#This Row],[Risk classes]], ",", "")) +1</f>
        <v>1</v>
      </c>
      <c r="H56" t="s">
        <v>222</v>
      </c>
      <c r="I56" t="s">
        <v>165</v>
      </c>
      <c r="J56" t="s">
        <v>165</v>
      </c>
      <c r="K56" t="s">
        <v>174</v>
      </c>
      <c r="L56" t="str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/>
      </c>
      <c r="M56" t="str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/>
      </c>
      <c r="N56" t="str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/>
      </c>
      <c r="O56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5</v>
      </c>
      <c r="P56" t="s">
        <v>165</v>
      </c>
      <c r="Q56" t="str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/>
      </c>
      <c r="R56" t="str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/>
      </c>
      <c r="S56" t="s">
        <v>165</v>
      </c>
      <c r="T56" t="str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/>
      </c>
      <c r="U56" t="str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/>
      </c>
      <c r="V56" t="s">
        <v>224</v>
      </c>
      <c r="W56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10</v>
      </c>
      <c r="X56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5</v>
      </c>
      <c r="Y56" t="s">
        <v>227</v>
      </c>
      <c r="Z56" t="s">
        <v>294</v>
      </c>
    </row>
    <row r="57" spans="1:26" x14ac:dyDescent="0.4">
      <c r="A57" t="s">
        <v>135</v>
      </c>
      <c r="B57" t="s">
        <v>136</v>
      </c>
      <c r="C57" t="s">
        <v>164</v>
      </c>
      <c r="D57" t="s">
        <v>110</v>
      </c>
      <c r="E57" t="s">
        <v>111</v>
      </c>
      <c r="F57">
        <f>LEN(Attack_Leaf_Matrix[[#This Row],[Attack Trees]]) - LEN(SUBSTITUTE(Attack_Leaf_Matrix[[#This Row],[Attack Trees]], ",", "")) +1</f>
        <v>1</v>
      </c>
      <c r="G57">
        <f>LEN(Attack_Leaf_Matrix[[#This Row],[Risk classes]]) - LEN(SUBSTITUTE(Attack_Leaf_Matrix[[#This Row],[Risk classes]], ",", "")) +1</f>
        <v>1</v>
      </c>
      <c r="H57" t="s">
        <v>221</v>
      </c>
      <c r="I57" t="s">
        <v>165</v>
      </c>
      <c r="J57" t="s">
        <v>165</v>
      </c>
      <c r="K57" t="s">
        <v>171</v>
      </c>
      <c r="L57" t="str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/>
      </c>
      <c r="M57" t="str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/>
      </c>
      <c r="N57" t="str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/>
      </c>
      <c r="O57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8</v>
      </c>
      <c r="P57" t="s">
        <v>165</v>
      </c>
      <c r="Q57" t="str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/>
      </c>
      <c r="R57" t="str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/>
      </c>
      <c r="S57" t="s">
        <v>165</v>
      </c>
      <c r="T57" t="str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/>
      </c>
      <c r="U57" t="str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/>
      </c>
      <c r="V57" t="s">
        <v>226</v>
      </c>
      <c r="W57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0</v>
      </c>
      <c r="X57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2</v>
      </c>
      <c r="Y57" t="s">
        <v>162</v>
      </c>
      <c r="Z57" t="s">
        <v>294</v>
      </c>
    </row>
    <row r="58" spans="1:26" x14ac:dyDescent="0.4">
      <c r="A58" t="s">
        <v>137</v>
      </c>
      <c r="B58" t="s">
        <v>138</v>
      </c>
      <c r="C58" t="s">
        <v>164</v>
      </c>
      <c r="D58" t="s">
        <v>110</v>
      </c>
      <c r="E58" t="s">
        <v>111</v>
      </c>
      <c r="F58">
        <f>LEN(Attack_Leaf_Matrix[[#This Row],[Attack Trees]]) - LEN(SUBSTITUTE(Attack_Leaf_Matrix[[#This Row],[Attack Trees]], ",", "")) +1</f>
        <v>1</v>
      </c>
      <c r="G58">
        <f>LEN(Attack_Leaf_Matrix[[#This Row],[Risk classes]]) - LEN(SUBSTITUTE(Attack_Leaf_Matrix[[#This Row],[Risk classes]], ",", "")) +1</f>
        <v>1</v>
      </c>
      <c r="H58" t="s">
        <v>221</v>
      </c>
      <c r="I58" t="s">
        <v>165</v>
      </c>
      <c r="J58" t="s">
        <v>165</v>
      </c>
      <c r="K58" t="s">
        <v>171</v>
      </c>
      <c r="L58" t="str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/>
      </c>
      <c r="M58" t="str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/>
      </c>
      <c r="N58" t="str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/>
      </c>
      <c r="O58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8</v>
      </c>
      <c r="P58" t="s">
        <v>165</v>
      </c>
      <c r="Q58" t="str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/>
      </c>
      <c r="R58" t="str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/>
      </c>
      <c r="S58" t="s">
        <v>165</v>
      </c>
      <c r="T58" t="str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/>
      </c>
      <c r="U58" t="str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/>
      </c>
      <c r="V58" t="s">
        <v>226</v>
      </c>
      <c r="W58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0</v>
      </c>
      <c r="X58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2</v>
      </c>
      <c r="Y58" t="s">
        <v>162</v>
      </c>
      <c r="Z58" t="s">
        <v>294</v>
      </c>
    </row>
    <row r="59" spans="1:26" x14ac:dyDescent="0.4">
      <c r="A59" t="s">
        <v>139</v>
      </c>
      <c r="B59" t="s">
        <v>140</v>
      </c>
      <c r="C59" t="s">
        <v>164</v>
      </c>
      <c r="D59" t="s">
        <v>110</v>
      </c>
      <c r="E59" t="s">
        <v>111</v>
      </c>
      <c r="F59">
        <f>LEN(Attack_Leaf_Matrix[[#This Row],[Attack Trees]]) - LEN(SUBSTITUTE(Attack_Leaf_Matrix[[#This Row],[Attack Trees]], ",", "")) +1</f>
        <v>1</v>
      </c>
      <c r="G59">
        <f>LEN(Attack_Leaf_Matrix[[#This Row],[Risk classes]]) - LEN(SUBSTITUTE(Attack_Leaf_Matrix[[#This Row],[Risk classes]], ",", "")) +1</f>
        <v>1</v>
      </c>
      <c r="H59" t="s">
        <v>221</v>
      </c>
      <c r="I59" t="s">
        <v>165</v>
      </c>
      <c r="J59" t="s">
        <v>165</v>
      </c>
      <c r="K59" t="s">
        <v>174</v>
      </c>
      <c r="L59" t="str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/>
      </c>
      <c r="M59" t="str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/>
      </c>
      <c r="N59" t="str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/>
      </c>
      <c r="O59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5</v>
      </c>
      <c r="P59" t="s">
        <v>165</v>
      </c>
      <c r="Q59" t="str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/>
      </c>
      <c r="R59" t="str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/>
      </c>
      <c r="S59" t="s">
        <v>165</v>
      </c>
      <c r="T59" t="str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/>
      </c>
      <c r="U59" t="str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/>
      </c>
      <c r="V59" t="s">
        <v>226</v>
      </c>
      <c r="W59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0</v>
      </c>
      <c r="X59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0</v>
      </c>
      <c r="Y59" t="s">
        <v>162</v>
      </c>
      <c r="Z59" t="s">
        <v>294</v>
      </c>
    </row>
    <row r="60" spans="1:26" x14ac:dyDescent="0.4">
      <c r="A60" t="s">
        <v>141</v>
      </c>
      <c r="B60" t="s">
        <v>142</v>
      </c>
      <c r="C60" t="s">
        <v>164</v>
      </c>
      <c r="D60" t="s">
        <v>110</v>
      </c>
      <c r="E60" t="s">
        <v>111</v>
      </c>
      <c r="F60">
        <f>LEN(Attack_Leaf_Matrix[[#This Row],[Attack Trees]]) - LEN(SUBSTITUTE(Attack_Leaf_Matrix[[#This Row],[Attack Trees]], ",", "")) +1</f>
        <v>1</v>
      </c>
      <c r="G60">
        <f>LEN(Attack_Leaf_Matrix[[#This Row],[Risk classes]]) - LEN(SUBSTITUTE(Attack_Leaf_Matrix[[#This Row],[Risk classes]], ",", "")) +1</f>
        <v>1</v>
      </c>
      <c r="H60" t="s">
        <v>221</v>
      </c>
      <c r="I60" t="s">
        <v>165</v>
      </c>
      <c r="J60" t="s">
        <v>165</v>
      </c>
      <c r="K60" t="s">
        <v>174</v>
      </c>
      <c r="L60" t="str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/>
      </c>
      <c r="M60" t="str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/>
      </c>
      <c r="N60" t="str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/>
      </c>
      <c r="O60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5</v>
      </c>
      <c r="P60" t="s">
        <v>165</v>
      </c>
      <c r="Q60" t="str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/>
      </c>
      <c r="R60" t="str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/>
      </c>
      <c r="S60" t="s">
        <v>165</v>
      </c>
      <c r="T60" t="str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/>
      </c>
      <c r="U60" t="str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/>
      </c>
      <c r="V60" t="s">
        <v>226</v>
      </c>
      <c r="W60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0</v>
      </c>
      <c r="X60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0</v>
      </c>
      <c r="Y60" t="s">
        <v>162</v>
      </c>
      <c r="Z60" t="s">
        <v>294</v>
      </c>
    </row>
    <row r="61" spans="1:26" x14ac:dyDescent="0.4">
      <c r="A61" t="s">
        <v>143</v>
      </c>
      <c r="B61" t="s">
        <v>144</v>
      </c>
      <c r="C61" t="s">
        <v>164</v>
      </c>
      <c r="D61" t="s">
        <v>110</v>
      </c>
      <c r="E61" t="s">
        <v>111</v>
      </c>
      <c r="F61">
        <f>LEN(Attack_Leaf_Matrix[[#This Row],[Attack Trees]]) - LEN(SUBSTITUTE(Attack_Leaf_Matrix[[#This Row],[Attack Trees]], ",", "")) +1</f>
        <v>1</v>
      </c>
      <c r="G61">
        <f>LEN(Attack_Leaf_Matrix[[#This Row],[Risk classes]]) - LEN(SUBSTITUTE(Attack_Leaf_Matrix[[#This Row],[Risk classes]], ",", "")) +1</f>
        <v>1</v>
      </c>
      <c r="H61" t="s">
        <v>221</v>
      </c>
      <c r="I61" t="s">
        <v>165</v>
      </c>
      <c r="J61" t="s">
        <v>165</v>
      </c>
      <c r="K61" t="s">
        <v>171</v>
      </c>
      <c r="L61" t="str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/>
      </c>
      <c r="M61" t="str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/>
      </c>
      <c r="N61" t="str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/>
      </c>
      <c r="O61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8</v>
      </c>
      <c r="P61" t="s">
        <v>165</v>
      </c>
      <c r="Q61" t="str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/>
      </c>
      <c r="R61" t="str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/>
      </c>
      <c r="S61" t="s">
        <v>165</v>
      </c>
      <c r="T61" t="str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/>
      </c>
      <c r="U61" t="str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/>
      </c>
      <c r="V61" t="s">
        <v>226</v>
      </c>
      <c r="W61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0</v>
      </c>
      <c r="X61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2</v>
      </c>
      <c r="Y61" t="s">
        <v>154</v>
      </c>
      <c r="Z61" t="s">
        <v>294</v>
      </c>
    </row>
    <row r="62" spans="1:26" x14ac:dyDescent="0.4">
      <c r="A62" t="s">
        <v>179</v>
      </c>
      <c r="B62" t="s">
        <v>183</v>
      </c>
      <c r="C62" t="s">
        <v>164</v>
      </c>
      <c r="D62" t="s">
        <v>4</v>
      </c>
      <c r="E62" t="s">
        <v>187</v>
      </c>
      <c r="F62" s="2">
        <f>LEN(Attack_Leaf_Matrix[[#This Row],[Attack Trees]]) - LEN(SUBSTITUTE(Attack_Leaf_Matrix[[#This Row],[Attack Trees]], ",", "")) +1</f>
        <v>1</v>
      </c>
      <c r="G62" s="2">
        <f>LEN(Attack_Leaf_Matrix[[#This Row],[Risk classes]]) - LEN(SUBSTITUTE(Attack_Leaf_Matrix[[#This Row],[Risk classes]], ",", "")) +1</f>
        <v>2</v>
      </c>
      <c r="H62" s="2" t="s">
        <v>222</v>
      </c>
      <c r="I62" t="s">
        <v>165</v>
      </c>
      <c r="J62" t="s">
        <v>165</v>
      </c>
      <c r="K62" t="s">
        <v>171</v>
      </c>
      <c r="L62" s="2" t="str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/>
      </c>
      <c r="M62" s="2" t="str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/>
      </c>
      <c r="N62" s="2" t="str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/>
      </c>
      <c r="O62" s="2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8</v>
      </c>
      <c r="P62" t="s">
        <v>224</v>
      </c>
      <c r="Q62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10</v>
      </c>
      <c r="R62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8</v>
      </c>
      <c r="S62" t="s">
        <v>224</v>
      </c>
      <c r="T62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10</v>
      </c>
      <c r="U62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8</v>
      </c>
      <c r="V62" t="s">
        <v>224</v>
      </c>
      <c r="W62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10</v>
      </c>
      <c r="X62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8</v>
      </c>
      <c r="Y62" t="s">
        <v>227</v>
      </c>
      <c r="Z62" t="s">
        <v>294</v>
      </c>
    </row>
    <row r="63" spans="1:26" x14ac:dyDescent="0.4">
      <c r="A63" t="s">
        <v>180</v>
      </c>
      <c r="B63" t="s">
        <v>184</v>
      </c>
      <c r="C63" t="s">
        <v>164</v>
      </c>
      <c r="D63" t="s">
        <v>49</v>
      </c>
      <c r="E63" t="s">
        <v>63</v>
      </c>
      <c r="F63" s="2">
        <f>LEN(Attack_Leaf_Matrix[[#This Row],[Attack Trees]]) - LEN(SUBSTITUTE(Attack_Leaf_Matrix[[#This Row],[Attack Trees]], ",", "")) +1</f>
        <v>1</v>
      </c>
      <c r="G63" s="2">
        <f>LEN(Attack_Leaf_Matrix[[#This Row],[Risk classes]]) - LEN(SUBSTITUTE(Attack_Leaf_Matrix[[#This Row],[Risk classes]], ",", "")) +1</f>
        <v>2</v>
      </c>
      <c r="H63" s="2" t="s">
        <v>222</v>
      </c>
      <c r="I63" t="s">
        <v>165</v>
      </c>
      <c r="J63" t="s">
        <v>165</v>
      </c>
      <c r="K63" t="s">
        <v>171</v>
      </c>
      <c r="L63" s="2" t="str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/>
      </c>
      <c r="M63" s="2" t="str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/>
      </c>
      <c r="N63" s="2" t="str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/>
      </c>
      <c r="O63" s="2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8</v>
      </c>
      <c r="P63" t="s">
        <v>224</v>
      </c>
      <c r="Q63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10</v>
      </c>
      <c r="R63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8</v>
      </c>
      <c r="S63" t="s">
        <v>224</v>
      </c>
      <c r="T63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10</v>
      </c>
      <c r="U63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8</v>
      </c>
      <c r="V63" t="s">
        <v>225</v>
      </c>
      <c r="W63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5</v>
      </c>
      <c r="X63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5</v>
      </c>
      <c r="Y63" t="s">
        <v>159</v>
      </c>
      <c r="Z63" t="s">
        <v>294</v>
      </c>
    </row>
    <row r="64" spans="1:26" x14ac:dyDescent="0.4">
      <c r="A64" t="s">
        <v>181</v>
      </c>
      <c r="B64" t="s">
        <v>185</v>
      </c>
      <c r="C64" t="s">
        <v>164</v>
      </c>
      <c r="D64" t="s">
        <v>4</v>
      </c>
      <c r="E64" t="s">
        <v>8</v>
      </c>
      <c r="F64" s="2">
        <f>LEN(Attack_Leaf_Matrix[[#This Row],[Attack Trees]]) - LEN(SUBSTITUTE(Attack_Leaf_Matrix[[#This Row],[Attack Trees]], ",", "")) +1</f>
        <v>1</v>
      </c>
      <c r="G64" s="2">
        <f>LEN(Attack_Leaf_Matrix[[#This Row],[Risk classes]]) - LEN(SUBSTITUTE(Attack_Leaf_Matrix[[#This Row],[Risk classes]], ",", "")) +1</f>
        <v>2</v>
      </c>
      <c r="H64" s="2" t="s">
        <v>221</v>
      </c>
      <c r="I64" t="s">
        <v>165</v>
      </c>
      <c r="J64" t="s">
        <v>165</v>
      </c>
      <c r="K64" t="s">
        <v>171</v>
      </c>
      <c r="L64" s="2" t="str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/>
      </c>
      <c r="M64" s="2" t="str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/>
      </c>
      <c r="N64" s="2" t="str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/>
      </c>
      <c r="O64" s="2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8</v>
      </c>
      <c r="P64" t="s">
        <v>224</v>
      </c>
      <c r="Q64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10</v>
      </c>
      <c r="R64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8</v>
      </c>
      <c r="S64" t="s">
        <v>224</v>
      </c>
      <c r="T64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10</v>
      </c>
      <c r="U64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8</v>
      </c>
      <c r="V64" t="s">
        <v>224</v>
      </c>
      <c r="W64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10</v>
      </c>
      <c r="X64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8</v>
      </c>
      <c r="Y64" t="s">
        <v>227</v>
      </c>
      <c r="Z64" t="s">
        <v>294</v>
      </c>
    </row>
    <row r="65" spans="1:26" x14ac:dyDescent="0.4">
      <c r="A65" t="s">
        <v>182</v>
      </c>
      <c r="B65" t="s">
        <v>186</v>
      </c>
      <c r="C65" t="s">
        <v>164</v>
      </c>
      <c r="D65" t="s">
        <v>4</v>
      </c>
      <c r="E65" t="s">
        <v>17</v>
      </c>
      <c r="F65" s="2">
        <f>LEN(Attack_Leaf_Matrix[[#This Row],[Attack Trees]]) - LEN(SUBSTITUTE(Attack_Leaf_Matrix[[#This Row],[Attack Trees]], ",", "")) +1</f>
        <v>1</v>
      </c>
      <c r="G65" s="2">
        <f>LEN(Attack_Leaf_Matrix[[#This Row],[Risk classes]]) - LEN(SUBSTITUTE(Attack_Leaf_Matrix[[#This Row],[Risk classes]], ",", "")) +1</f>
        <v>2</v>
      </c>
      <c r="H65" s="2" t="s">
        <v>221</v>
      </c>
      <c r="I65" t="s">
        <v>165</v>
      </c>
      <c r="J65" t="s">
        <v>165</v>
      </c>
      <c r="K65" t="s">
        <v>171</v>
      </c>
      <c r="L65" s="2" t="str">
        <f>IF(Attack_Leaf_Matrix[[#This Row],[Band | Frequency]]="Very High",10, IF(Attack_Leaf_Matrix[[#This Row],[Band | Frequency]]="High",8, IF(Attack_Leaf_Matrix[[#This Row],[Band | Frequency]]="Moderate",5, IF(Attack_Leaf_Matrix[[#This Row],[Band | Frequency]]="Low",2, IF(Attack_Leaf_Matrix[[#This Row],[Band | Frequency]]="Very Low",0,IF(Attack_Leaf_Matrix[[#This Row],[Band | Frequency]]="N/A",""))))))</f>
        <v/>
      </c>
      <c r="M65" s="2" t="str">
        <f>IF(Attack_Leaf_Matrix[[#This Row],[Band | Likelihood of Adverse Impact]]="Very High",10, IF(Attack_Leaf_Matrix[[#This Row],[Band | Likelihood of Adverse Impact]]="High",8, IF(Attack_Leaf_Matrix[[#This Row],[Band | Likelihood of Adverse Impact]]="Moderate",5, IF(Attack_Leaf_Matrix[[#This Row],[Band | Likelihood of Adverse Impact]]="Low",2, IF(Attack_Leaf_Matrix[[#This Row],[Band | Likelihood of Adverse Impact]]="Very Low",0,IF(Attack_Leaf_Matrix[[#This Row],[Band | Likelihood of Adverse Impact]]="N/A",""))))))</f>
        <v/>
      </c>
      <c r="N65" s="2" t="str">
        <f xml:space="preserve">
IF(AND(Attack_Leaf_Matrix[[#This Row],[Value | Frequency]]=0,Attack_Leaf_Matrix[[#This Row],[Value | Likelihood of Adverse Impact]]&lt;=2),0,
IF(AND(Attack_Leaf_Matrix[[#This Row],[Value | Frequency]]=0,Attack_Leaf_Matrix[[#This Row],[Value | Likelihood of Adverse Impact]]&gt;2),2,
IF(AND(Attack_Leaf_Matrix[[#This Row],[Value | Frequency]]=2,Attack_Leaf_Matrix[[#This Row],[Value | Likelihood of Adverse Impact]]=0),0,
IF(AND(Attack_Leaf_Matrix[[#This Row],[Value | Frequency]]=2,Attack_Leaf_Matrix[[#This Row],[Value | Likelihood of Adverse Impact]]&lt;=5),2,
IF(AND(Attack_Leaf_Matrix[[#This Row],[Value | Frequency]]=2,Attack_Leaf_Matrix[[#This Row],[Value | Likelihood of Adverse Impact]]&gt;5),5,
IF(AND(Attack_Leaf_Matrix[[#This Row],[Value | Frequency]]=5,Attack_Leaf_Matrix[[#This Row],[Value | Likelihood of Adverse Impact]]&lt;=2),2,
IF(AND(Attack_Leaf_Matrix[[#This Row],[Value | Frequency]]=5,Attack_Leaf_Matrix[[#This Row],[Value | Likelihood of Adverse Impact]]&lt;=8),5,
IF(AND(Attack_Leaf_Matrix[[#This Row],[Value | Frequency]]=5,Attack_Leaf_Matrix[[#This Row],[Value | Likelihood of Adverse Impact]]=10),8,
IF(AND(Attack_Leaf_Matrix[[#This Row],[Value | Frequency]]=8,Attack_Leaf_Matrix[[#This Row],[Value | Likelihood of Adverse Impact]]=0),2,
IF(AND(Attack_Leaf_Matrix[[#This Row],[Value | Frequency]]=8,Attack_Leaf_Matrix[[#This Row],[Value | Likelihood of Adverse Impact]]&lt;=5),5,
IF(AND(Attack_Leaf_Matrix[[#This Row],[Value | Frequency]]=8,Attack_Leaf_Matrix[[#This Row],[Value | Likelihood of Adverse Impact]]=8),8,
IF(AND(Attack_Leaf_Matrix[[#This Row],[Value | Frequency]]=8,Attack_Leaf_Matrix[[#This Row],[Value | Likelihood of Adverse Impact]]=10),10,
IF(AND(Attack_Leaf_Matrix[[#This Row],[Value | Frequency]]=10,Attack_Leaf_Matrix[[#This Row],[Value | Likelihood of Adverse Impact]]=0),2,
IF(AND(Attack_Leaf_Matrix[[#This Row],[Value | Frequency]]=10,Attack_Leaf_Matrix[[#This Row],[Value | Likelihood of Adverse Impact]]=2),5,
IF(AND(Attack_Leaf_Matrix[[#This Row],[Value | Frequency]]=10,Attack_Leaf_Matrix[[#This Row],[Value | Likelihood of Adverse Impact]]=5),8,
IF(AND(Attack_Leaf_Matrix[[#This Row],[Value | Frequency]]=10,Attack_Leaf_Matrix[[#This Row],[Value | Likelihood of Adverse Impact]]&gt;5),10,
""
))))))))))))))))</f>
        <v/>
      </c>
      <c r="O65" s="2">
        <f>IF(Attack_Leaf_Matrix[[#This Row],[Band | Impact]]="Very High",10, IF(Attack_Leaf_Matrix[[#This Row],[Band | Impact]]="High",8, IF(Attack_Leaf_Matrix[[#This Row],[Band | Impact]]="Moderate",5, IF(Attack_Leaf_Matrix[[#This Row],[Band | Impact]]="Low",2, IF(Attack_Leaf_Matrix[[#This Row],[Band | Impact]]="Very Low",0,IF(Attack_Leaf_Matrix[[#This Row],[Band | Impact]]="N/A",""))))))</f>
        <v>8</v>
      </c>
      <c r="P65" t="s">
        <v>224</v>
      </c>
      <c r="Q65">
        <f xml:space="preserve">
IF(Attack_Leaf_Matrix[[#This Row],[Baseline Status]]="N/A","",
IF(Attack_Leaf_Matrix[[#This Row],[Baseline Status]]="Constant",Attack_Leaf_Matrix[[#This Row],[Value | Overall Likelihood]],
IF(Attack_Leaf_Matrix[[#This Row],[Baseline Status]]="Unaddressed",10,
IF(Attack_Leaf_Matrix[[#This Row],[Baseline Status]]="Partially Addressed",5,
IF(Attack_Leaf_Matrix[[#This Row],[Baseline Status]]="Fully Addressed",0,
"ERROR"
)))))</f>
        <v>10</v>
      </c>
      <c r="R65">
        <f xml:space="preserve">
IF(AND(Attack_Leaf_Matrix[[#This Row],[Baseline Likelihood]]=0,Attack_Leaf_Matrix[[#This Row],[Value | Impact]]&lt;=5),0,
IF(AND(Attack_Leaf_Matrix[[#This Row],[Baseline Likelihood]]=0,Attack_Leaf_Matrix[[#This Row],[Value | Impact]]&gt;5),2,
IF(AND(Attack_Leaf_Matrix[[#This Row],[Baseline Likelihood]]=2,Attack_Leaf_Matrix[[#This Row],[Value | Impact]]=0),0,
IF(AND(Attack_Leaf_Matrix[[#This Row],[Baseline Likelihood]]=2,Attack_Leaf_Matrix[[#This Row],[Value | Impact]]&lt;=8),2,
IF(AND(Attack_Leaf_Matrix[[#This Row],[Baseline Likelihood]]=2,Attack_Leaf_Matrix[[#This Row],[Value | Impact]]=10),5,
IF(AND(Attack_Leaf_Matrix[[#This Row],[Baseline Likelihood]]=5,Attack_Leaf_Matrix[[#This Row],[Value | Impact]]=0),0,
IF(AND(Attack_Leaf_Matrix[[#This Row],[Baseline Likelihood]]=5,Attack_Leaf_Matrix[[#This Row],[Value | Impact]]=2),2,
IF(AND(Attack_Leaf_Matrix[[#This Row],[Baseline Likelihood]]=5,Attack_Leaf_Matrix[[#This Row],[Value | Impact]]&lt;=8),5,
IF(AND(Attack_Leaf_Matrix[[#This Row],[Baseline Likelihood]]=5,Attack_Leaf_Matrix[[#This Row],[Value | Impact]]=10),8,
IF(AND(Attack_Leaf_Matrix[[#This Row],[Baseline Likelihood]]=8,Attack_Leaf_Matrix[[#This Row],[Value | Impact]]=0),0,
IF(AND(Attack_Leaf_Matrix[[#This Row],[Baseline Likelihood]]=8,Attack_Leaf_Matrix[[#This Row],[Value | Impact]]=2),2,
IF(AND(Attack_Leaf_Matrix[[#This Row],[Baseline Likelihood]]=8,Attack_Leaf_Matrix[[#This Row],[Value | Impact]]=5),5,
IF(AND(Attack_Leaf_Matrix[[#This Row],[Baseline Likelihood]]=8,Attack_Leaf_Matrix[[#This Row],[Value | Impact]]=8),8,
IF(AND(Attack_Leaf_Matrix[[#This Row],[Baseline Likelihood]]=8,Attack_Leaf_Matrix[[#This Row],[Value | Impact]]=10),10,
IF(AND(Attack_Leaf_Matrix[[#This Row],[Baseline Likelihood]]=10,Attack_Leaf_Matrix[[#This Row],[Value | Impact]]=0),0,
IF(AND(Attack_Leaf_Matrix[[#This Row],[Baseline Likelihood]]=10,Attack_Leaf_Matrix[[#This Row],[Value | Impact]]=2),2,
IF(AND(Attack_Leaf_Matrix[[#This Row],[Baseline Likelihood]]=10,Attack_Leaf_Matrix[[#This Row],[Value | Impact]]=5),5,
IF(AND(Attack_Leaf_Matrix[[#This Row],[Baseline Likelihood]]=10,Attack_Leaf_Matrix[[#This Row],[Value | Impact]]=8),8,
IF(AND(Attack_Leaf_Matrix[[#This Row],[Baseline Likelihood]]=10,Attack_Leaf_Matrix[[#This Row],[Value | Impact]]=10),10,
IF(Attack_Leaf_Matrix[[#This Row],[Baseline Status]]="N/A","",
""
))))))))))))))))))))</f>
        <v>8</v>
      </c>
      <c r="S65" t="s">
        <v>225</v>
      </c>
      <c r="T65">
        <f xml:space="preserve">
IF(Attack_Leaf_Matrix[[#This Row],[Observational Status]]="N/A","",
IF(Attack_Leaf_Matrix[[#This Row],[Observational Status]]="Constant",Attack_Leaf_Matrix[[#This Row],[Value | Overall Likelihood]],
IF(Attack_Leaf_Matrix[[#This Row],[Observational Status]]="Unaddressed",10,
IF(Attack_Leaf_Matrix[[#This Row],[Observational Status]]="Partially Addressed",5,
IF(Attack_Leaf_Matrix[[#This Row],[Observational Status]]="Fully Addressed",0,
"ERROR"
)))))</f>
        <v>5</v>
      </c>
      <c r="U65">
        <f xml:space="preserve">
IF(AND(Attack_Leaf_Matrix[[#This Row],[Observational Likelihood]]=0,Attack_Leaf_Matrix[[#This Row],[Value | Impact]]&lt;=5),0,
IF(AND(Attack_Leaf_Matrix[[#This Row],[Observational Likelihood]]=0,Attack_Leaf_Matrix[[#This Row],[Value | Impact]]&gt;5),2,
IF(AND(Attack_Leaf_Matrix[[#This Row],[Observational Likelihood]]=2,Attack_Leaf_Matrix[[#This Row],[Value | Impact]]=0),0,
IF(AND(Attack_Leaf_Matrix[[#This Row],[Observational Likelihood]]=2,Attack_Leaf_Matrix[[#This Row],[Value | Impact]]&lt;=8),2,
IF(AND(Attack_Leaf_Matrix[[#This Row],[Observational Likelihood]]=2,Attack_Leaf_Matrix[[#This Row],[Value | Impact]]=10),5,
IF(AND(Attack_Leaf_Matrix[[#This Row],[Observational Likelihood]]=5,Attack_Leaf_Matrix[[#This Row],[Value | Impact]]=0),0,
IF(AND(Attack_Leaf_Matrix[[#This Row],[Observational Likelihood]]=5,Attack_Leaf_Matrix[[#This Row],[Value | Impact]]=2),2,
IF(AND(Attack_Leaf_Matrix[[#This Row],[Observational Likelihood]]=5,Attack_Leaf_Matrix[[#This Row],[Value | Impact]]&lt;=8),5,
IF(AND(Attack_Leaf_Matrix[[#This Row],[Observational Likelihood]]=5,Attack_Leaf_Matrix[[#This Row],[Value | Impact]]=10),8,
IF(AND(Attack_Leaf_Matrix[[#This Row],[Observational Likelihood]]=8,Attack_Leaf_Matrix[[#This Row],[Value | Impact]]=0),0,
IF(AND(Attack_Leaf_Matrix[[#This Row],[Observational Likelihood]]=8,Attack_Leaf_Matrix[[#This Row],[Value | Impact]]=2),2,
IF(AND(Attack_Leaf_Matrix[[#This Row],[Observational Likelihood]]=8,Attack_Leaf_Matrix[[#This Row],[Value | Impact]]=5),5,
IF(AND(Attack_Leaf_Matrix[[#This Row],[Observational Likelihood]]=8,Attack_Leaf_Matrix[[#This Row],[Value | Impact]]=8),8,
IF(AND(Attack_Leaf_Matrix[[#This Row],[Observational Likelihood]]=8,Attack_Leaf_Matrix[[#This Row],[Value | Impact]]=10),10,
IF(AND(Attack_Leaf_Matrix[[#This Row],[Observational Likelihood]]=10,Attack_Leaf_Matrix[[#This Row],[Value | Impact]]=0),0,
IF(AND(Attack_Leaf_Matrix[[#This Row],[Observational Likelihood]]=10,Attack_Leaf_Matrix[[#This Row],[Value | Impact]]=2),2,
IF(AND(Attack_Leaf_Matrix[[#This Row],[Observational Likelihood]]=10,Attack_Leaf_Matrix[[#This Row],[Value | Impact]]=5),5,
IF(AND(Attack_Leaf_Matrix[[#This Row],[Observational Likelihood]]=10,Attack_Leaf_Matrix[[#This Row],[Value | Impact]]=8),8,
IF(AND(Attack_Leaf_Matrix[[#This Row],[Observational Likelihood]]=10,Attack_Leaf_Matrix[[#This Row],[Value | Impact]]=10),10,
IF(Attack_Leaf_Matrix[[#This Row],[Observational Status]]="N/A","",
""
))))))))))))))))))))</f>
        <v>5</v>
      </c>
      <c r="V65" t="s">
        <v>225</v>
      </c>
      <c r="W65">
        <f xml:space="preserve">
IF(Attack_Leaf_Matrix[[#This Row],[Mediated Status]]="N/A","",
IF(Attack_Leaf_Matrix[[#This Row],[Mediated Status]]="Constant",Attack_Leaf_Matrix[[#This Row],[Value | Overall Likelihood]],
IF(Attack_Leaf_Matrix[[#This Row],[Mediated Status]]="Unaddressed",10,
IF(Attack_Leaf_Matrix[[#This Row],[Mediated Status]]="Partially Addressed",5,
IF(Attack_Leaf_Matrix[[#This Row],[Mediated Status]]="Fully Addressed",0,
"ERROR"
)))))</f>
        <v>5</v>
      </c>
      <c r="X65">
        <f xml:space="preserve">
IF(AND(Attack_Leaf_Matrix[[#This Row],[Mediated Likelihood]]=0,Attack_Leaf_Matrix[[#This Row],[Value | Impact]]&lt;=5),0,
IF(AND(Attack_Leaf_Matrix[[#This Row],[Mediated Likelihood]]=0,Attack_Leaf_Matrix[[#This Row],[Value | Impact]]&gt;5),2,
IF(AND(Attack_Leaf_Matrix[[#This Row],[Mediated Likelihood]]=2,Attack_Leaf_Matrix[[#This Row],[Value | Impact]]=0),0,
IF(AND(Attack_Leaf_Matrix[[#This Row],[Mediated Likelihood]]=2,Attack_Leaf_Matrix[[#This Row],[Value | Impact]]&lt;=8),2,
IF(AND(Attack_Leaf_Matrix[[#This Row],[Mediated Likelihood]]=2,Attack_Leaf_Matrix[[#This Row],[Value | Impact]]=10),5,
IF(AND(Attack_Leaf_Matrix[[#This Row],[Mediated Likelihood]]=5,Attack_Leaf_Matrix[[#This Row],[Value | Impact]]=0),0,
IF(AND(Attack_Leaf_Matrix[[#This Row],[Mediated Likelihood]]=5,Attack_Leaf_Matrix[[#This Row],[Value | Impact]]=2),2,
IF(AND(Attack_Leaf_Matrix[[#This Row],[Mediated Likelihood]]=5,Attack_Leaf_Matrix[[#This Row],[Value | Impact]]&lt;=8),5,
IF(AND(Attack_Leaf_Matrix[[#This Row],[Mediated Likelihood]]=5,Attack_Leaf_Matrix[[#This Row],[Value | Impact]]=10),8,
IF(AND(Attack_Leaf_Matrix[[#This Row],[Mediated Likelihood]]=8,Attack_Leaf_Matrix[[#This Row],[Value | Impact]]=0),0,
IF(AND(Attack_Leaf_Matrix[[#This Row],[Mediated Likelihood]]=8,Attack_Leaf_Matrix[[#This Row],[Value | Impact]]=2),2,
IF(AND(Attack_Leaf_Matrix[[#This Row],[Mediated Likelihood]]=8,Attack_Leaf_Matrix[[#This Row],[Value | Impact]]=5),5,
IF(AND(Attack_Leaf_Matrix[[#This Row],[Mediated Likelihood]]=8,Attack_Leaf_Matrix[[#This Row],[Value | Impact]]=8),8,
IF(AND(Attack_Leaf_Matrix[[#This Row],[Mediated Likelihood]]=8,Attack_Leaf_Matrix[[#This Row],[Value | Impact]]=10),10,
IF(AND(Attack_Leaf_Matrix[[#This Row],[Mediated Likelihood]]=10,Attack_Leaf_Matrix[[#This Row],[Value | Impact]]=0),0,
IF(AND(Attack_Leaf_Matrix[[#This Row],[Mediated Likelihood]]=10,Attack_Leaf_Matrix[[#This Row],[Value | Impact]]=2),2,
IF(AND(Attack_Leaf_Matrix[[#This Row],[Mediated Likelihood]]=10,Attack_Leaf_Matrix[[#This Row],[Value | Impact]]=5),5,
IF(AND(Attack_Leaf_Matrix[[#This Row],[Mediated Likelihood]]=10,Attack_Leaf_Matrix[[#This Row],[Value | Impact]]=8),8,
IF(AND(Attack_Leaf_Matrix[[#This Row],[Mediated Likelihood]]=10,Attack_Leaf_Matrix[[#This Row],[Value | Impact]]=10),10,
IF(Attack_Leaf_Matrix[[#This Row],[Mediated Status]]="N/A","",
""
))))))))))))))))))))</f>
        <v>5</v>
      </c>
      <c r="Y65" t="s">
        <v>154</v>
      </c>
      <c r="Z65" t="s">
        <v>294</v>
      </c>
    </row>
    <row r="66" spans="1:26" x14ac:dyDescent="0.4">
      <c r="F66" s="2"/>
      <c r="G66" s="2"/>
      <c r="H66" s="2"/>
      <c r="L66" s="2"/>
      <c r="M66" s="2"/>
      <c r="N66" s="2"/>
      <c r="O66" s="2"/>
      <c r="Q66" s="2"/>
      <c r="R66" s="2">
        <f>SUBTOTAL(109,Attack_Leaf_Matrix[Baseline Residual Risk Score])</f>
        <v>309</v>
      </c>
      <c r="T66" s="2"/>
      <c r="U66" s="2">
        <f>SUBTOTAL(109,Attack_Leaf_Matrix[Observational Residual Risk Score])</f>
        <v>291</v>
      </c>
      <c r="W66" s="2"/>
      <c r="X66" s="2">
        <f>SUM(Attack_Leaf_Matrix[Mediated Residual Risk])</f>
        <v>220</v>
      </c>
    </row>
  </sheetData>
  <phoneticPr fontId="2" type="noConversion"/>
  <dataValidations count="5">
    <dataValidation type="list" allowBlank="1" showInputMessage="1" showErrorMessage="1" sqref="Y2:Y65" xr:uid="{1123D1B8-5CAB-4D27-9BFA-F0545C3B8284}">
      <formula1>SolutionFeatures</formula1>
    </dataValidation>
    <dataValidation type="list" allowBlank="1" showInputMessage="1" showErrorMessage="1" sqref="I2:K65" xr:uid="{CC685B2C-D6FA-44D3-B8C1-B339F465445B}">
      <formula1>"N/A, Very Low, Low, Moderate, High, Very High"</formula1>
    </dataValidation>
    <dataValidation type="list" allowBlank="1" showInputMessage="1" showErrorMessage="1" sqref="H2:H65" xr:uid="{7A292FF3-F193-47F9-953F-D488996263DF}">
      <formula1>"N/A, Enabler, Amplifier"</formula1>
    </dataValidation>
    <dataValidation type="list" allowBlank="1" showInputMessage="1" showErrorMessage="1" sqref="P2:P65 S2:S65 V2:V65" xr:uid="{833423A5-86C4-4397-8CBC-D37FDF8818B9}">
      <formula1>"N/A, Constant, Unaddressed, Partially Addressed, Fully Addressed"</formula1>
    </dataValidation>
    <dataValidation type="list" allowBlank="1" showInputMessage="1" showErrorMessage="1" sqref="Z2:Z65" xr:uid="{FCFEEA87-DDCF-4DC4-927A-288B4BC4214A}">
      <formula1>"Lab Demonstrated, Analytically Asserted"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EAB74-DCAF-4D4F-BC39-F7640FDAEC92}">
  <dimension ref="A1:F59"/>
  <sheetViews>
    <sheetView workbookViewId="0">
      <selection activeCell="B67" sqref="B67"/>
    </sheetView>
  </sheetViews>
  <sheetFormatPr defaultRowHeight="14.6" x14ac:dyDescent="0.4"/>
  <cols>
    <col min="1" max="1" width="15.765625" style="10" bestFit="1" customWidth="1"/>
    <col min="2" max="2" width="21.84375" style="10" bestFit="1" customWidth="1"/>
    <col min="3" max="3" width="70.3046875" style="10" bestFit="1" customWidth="1"/>
    <col min="4" max="4" width="62.921875" style="10" bestFit="1" customWidth="1"/>
    <col min="5" max="16384" width="9.23046875" style="10"/>
  </cols>
  <sheetData>
    <row r="1" spans="1:4" ht="15" thickBot="1" x14ac:dyDescent="0.45">
      <c r="A1" s="23" t="s">
        <v>202</v>
      </c>
      <c r="B1" s="24"/>
      <c r="C1" s="25"/>
      <c r="D1" s="9"/>
    </row>
    <row r="2" spans="1:4" ht="15" thickBot="1" x14ac:dyDescent="0.45">
      <c r="A2" s="20" t="s">
        <v>188</v>
      </c>
      <c r="B2" s="21" t="s">
        <v>189</v>
      </c>
      <c r="C2" s="22" t="s">
        <v>190</v>
      </c>
    </row>
    <row r="3" spans="1:4" x14ac:dyDescent="0.4">
      <c r="A3" s="12" t="s">
        <v>175</v>
      </c>
      <c r="B3" s="13">
        <v>10</v>
      </c>
      <c r="C3" s="14" t="s">
        <v>197</v>
      </c>
    </row>
    <row r="4" spans="1:4" x14ac:dyDescent="0.4">
      <c r="A4" s="3" t="s">
        <v>171</v>
      </c>
      <c r="B4" s="4">
        <v>8</v>
      </c>
      <c r="C4" s="5" t="s">
        <v>198</v>
      </c>
    </row>
    <row r="5" spans="1:4" x14ac:dyDescent="0.4">
      <c r="A5" s="3" t="s">
        <v>174</v>
      </c>
      <c r="B5" s="4">
        <v>5</v>
      </c>
      <c r="C5" s="5" t="s">
        <v>199</v>
      </c>
    </row>
    <row r="6" spans="1:4" x14ac:dyDescent="0.4">
      <c r="A6" s="3" t="s">
        <v>172</v>
      </c>
      <c r="B6" s="4">
        <v>2</v>
      </c>
      <c r="C6" s="5" t="s">
        <v>200</v>
      </c>
    </row>
    <row r="7" spans="1:4" ht="15" thickBot="1" x14ac:dyDescent="0.45">
      <c r="A7" s="6" t="s">
        <v>176</v>
      </c>
      <c r="B7" s="7">
        <v>0</v>
      </c>
      <c r="C7" s="8" t="s">
        <v>201</v>
      </c>
    </row>
    <row r="10" spans="1:4" ht="15" thickBot="1" x14ac:dyDescent="0.45"/>
    <row r="11" spans="1:4" ht="15" thickBot="1" x14ac:dyDescent="0.45">
      <c r="A11" s="23" t="s">
        <v>205</v>
      </c>
      <c r="B11" s="24"/>
      <c r="C11" s="24"/>
      <c r="D11" s="25"/>
    </row>
    <row r="12" spans="1:4" ht="15" thickBot="1" x14ac:dyDescent="0.45">
      <c r="A12" s="20" t="s">
        <v>188</v>
      </c>
      <c r="B12" s="21" t="s">
        <v>189</v>
      </c>
      <c r="C12" s="21" t="s">
        <v>190</v>
      </c>
      <c r="D12" s="22" t="s">
        <v>195</v>
      </c>
    </row>
    <row r="13" spans="1:4" x14ac:dyDescent="0.4">
      <c r="A13" s="12" t="s">
        <v>175</v>
      </c>
      <c r="B13" s="13">
        <v>10</v>
      </c>
      <c r="C13" s="13" t="s">
        <v>193</v>
      </c>
      <c r="D13" s="14" t="s">
        <v>283</v>
      </c>
    </row>
    <row r="14" spans="1:4" x14ac:dyDescent="0.4">
      <c r="A14" s="3" t="s">
        <v>171</v>
      </c>
      <c r="B14" s="4">
        <v>8</v>
      </c>
      <c r="C14" s="4" t="s">
        <v>193</v>
      </c>
      <c r="D14" s="5" t="s">
        <v>284</v>
      </c>
    </row>
    <row r="15" spans="1:4" x14ac:dyDescent="0.4">
      <c r="A15" s="3" t="s">
        <v>174</v>
      </c>
      <c r="B15" s="4">
        <v>5</v>
      </c>
      <c r="C15" s="4" t="s">
        <v>191</v>
      </c>
      <c r="D15" s="5" t="s">
        <v>285</v>
      </c>
    </row>
    <row r="16" spans="1:4" x14ac:dyDescent="0.4">
      <c r="A16" s="3" t="s">
        <v>172</v>
      </c>
      <c r="B16" s="4">
        <v>2</v>
      </c>
      <c r="C16" s="4" t="s">
        <v>192</v>
      </c>
      <c r="D16" s="5" t="s">
        <v>286</v>
      </c>
    </row>
    <row r="17" spans="1:6" ht="15" thickBot="1" x14ac:dyDescent="0.45">
      <c r="A17" s="6" t="s">
        <v>176</v>
      </c>
      <c r="B17" s="7">
        <v>0</v>
      </c>
      <c r="C17" s="7" t="s">
        <v>194</v>
      </c>
      <c r="D17" s="8" t="s">
        <v>196</v>
      </c>
    </row>
    <row r="20" spans="1:6" ht="15" thickBot="1" x14ac:dyDescent="0.45"/>
    <row r="21" spans="1:6" ht="15" thickBot="1" x14ac:dyDescent="0.45">
      <c r="A21" s="23" t="s">
        <v>217</v>
      </c>
      <c r="B21" s="24"/>
      <c r="C21" s="24"/>
      <c r="D21" s="24"/>
      <c r="E21" s="24"/>
      <c r="F21" s="25"/>
    </row>
    <row r="22" spans="1:6" ht="15" thickBot="1" x14ac:dyDescent="0.45">
      <c r="A22" s="32" t="s">
        <v>219</v>
      </c>
      <c r="B22" s="29" t="s">
        <v>218</v>
      </c>
      <c r="C22" s="30"/>
      <c r="D22" s="30"/>
      <c r="E22" s="30"/>
      <c r="F22" s="31"/>
    </row>
    <row r="23" spans="1:6" ht="15" thickBot="1" x14ac:dyDescent="0.45">
      <c r="A23" s="33"/>
      <c r="B23" s="15" t="s">
        <v>176</v>
      </c>
      <c r="C23" s="16" t="s">
        <v>172</v>
      </c>
      <c r="D23" s="16" t="s">
        <v>174</v>
      </c>
      <c r="E23" s="16" t="s">
        <v>171</v>
      </c>
      <c r="F23" s="17" t="s">
        <v>175</v>
      </c>
    </row>
    <row r="24" spans="1:6" x14ac:dyDescent="0.4">
      <c r="A24" s="18" t="s">
        <v>176</v>
      </c>
      <c r="B24" s="3" t="s">
        <v>172</v>
      </c>
      <c r="C24" s="4" t="s">
        <v>174</v>
      </c>
      <c r="D24" s="4" t="s">
        <v>171</v>
      </c>
      <c r="E24" s="4" t="s">
        <v>175</v>
      </c>
      <c r="F24" s="5" t="s">
        <v>175</v>
      </c>
    </row>
    <row r="25" spans="1:6" x14ac:dyDescent="0.4">
      <c r="A25" s="18" t="s">
        <v>172</v>
      </c>
      <c r="B25" s="3" t="s">
        <v>172</v>
      </c>
      <c r="C25" s="4" t="s">
        <v>174</v>
      </c>
      <c r="D25" s="4" t="s">
        <v>174</v>
      </c>
      <c r="E25" s="4" t="s">
        <v>171</v>
      </c>
      <c r="F25" s="5" t="s">
        <v>175</v>
      </c>
    </row>
    <row r="26" spans="1:6" x14ac:dyDescent="0.4">
      <c r="A26" s="18" t="s">
        <v>174</v>
      </c>
      <c r="B26" s="3" t="s">
        <v>172</v>
      </c>
      <c r="C26" s="4" t="s">
        <v>172</v>
      </c>
      <c r="D26" s="4" t="s">
        <v>174</v>
      </c>
      <c r="E26" s="4" t="s">
        <v>174</v>
      </c>
      <c r="F26" s="5" t="s">
        <v>171</v>
      </c>
    </row>
    <row r="27" spans="1:6" x14ac:dyDescent="0.4">
      <c r="A27" s="18" t="s">
        <v>171</v>
      </c>
      <c r="B27" s="3" t="s">
        <v>176</v>
      </c>
      <c r="C27" s="4" t="s">
        <v>172</v>
      </c>
      <c r="D27" s="4" t="s">
        <v>172</v>
      </c>
      <c r="E27" s="4" t="s">
        <v>174</v>
      </c>
      <c r="F27" s="5" t="s">
        <v>174</v>
      </c>
    </row>
    <row r="28" spans="1:6" ht="15" thickBot="1" x14ac:dyDescent="0.45">
      <c r="A28" s="19" t="s">
        <v>175</v>
      </c>
      <c r="B28" s="6" t="s">
        <v>176</v>
      </c>
      <c r="C28" s="7" t="s">
        <v>176</v>
      </c>
      <c r="D28" s="7" t="s">
        <v>172</v>
      </c>
      <c r="E28" s="7" t="s">
        <v>172</v>
      </c>
      <c r="F28" s="8" t="s">
        <v>172</v>
      </c>
    </row>
    <row r="31" spans="1:6" ht="15" thickBot="1" x14ac:dyDescent="0.45"/>
    <row r="32" spans="1:6" ht="15" thickBot="1" x14ac:dyDescent="0.45">
      <c r="A32" s="26" t="s">
        <v>214</v>
      </c>
      <c r="B32" s="27"/>
      <c r="C32" s="28"/>
    </row>
    <row r="33" spans="1:6" ht="15" thickBot="1" x14ac:dyDescent="0.45">
      <c r="A33" s="20" t="s">
        <v>188</v>
      </c>
      <c r="B33" s="21" t="s">
        <v>189</v>
      </c>
      <c r="C33" s="22" t="s">
        <v>190</v>
      </c>
    </row>
    <row r="34" spans="1:6" x14ac:dyDescent="0.4">
      <c r="A34" s="3" t="s">
        <v>175</v>
      </c>
      <c r="B34" s="4">
        <v>10</v>
      </c>
      <c r="C34" s="5" t="s">
        <v>209</v>
      </c>
    </row>
    <row r="35" spans="1:6" x14ac:dyDescent="0.4">
      <c r="A35" s="3" t="s">
        <v>171</v>
      </c>
      <c r="B35" s="4">
        <v>8</v>
      </c>
      <c r="C35" s="5" t="s">
        <v>210</v>
      </c>
    </row>
    <row r="36" spans="1:6" x14ac:dyDescent="0.4">
      <c r="A36" s="3" t="s">
        <v>174</v>
      </c>
      <c r="B36" s="4">
        <v>5</v>
      </c>
      <c r="C36" s="5" t="s">
        <v>211</v>
      </c>
    </row>
    <row r="37" spans="1:6" x14ac:dyDescent="0.4">
      <c r="A37" s="3" t="s">
        <v>172</v>
      </c>
      <c r="B37" s="4">
        <v>2</v>
      </c>
      <c r="C37" s="5" t="s">
        <v>213</v>
      </c>
    </row>
    <row r="38" spans="1:6" ht="15" thickBot="1" x14ac:dyDescent="0.45">
      <c r="A38" s="6" t="s">
        <v>176</v>
      </c>
      <c r="B38" s="7">
        <v>0</v>
      </c>
      <c r="C38" s="8" t="s">
        <v>212</v>
      </c>
    </row>
    <row r="41" spans="1:6" ht="15" thickBot="1" x14ac:dyDescent="0.45"/>
    <row r="42" spans="1:6" ht="15" thickBot="1" x14ac:dyDescent="0.45">
      <c r="A42" s="23" t="s">
        <v>216</v>
      </c>
      <c r="B42" s="24"/>
      <c r="C42" s="24"/>
      <c r="D42" s="24"/>
      <c r="E42" s="24"/>
      <c r="F42" s="25"/>
    </row>
    <row r="43" spans="1:6" ht="15" thickBot="1" x14ac:dyDescent="0.45">
      <c r="A43" s="32" t="s">
        <v>219</v>
      </c>
      <c r="B43" s="29" t="s">
        <v>218</v>
      </c>
      <c r="C43" s="30"/>
      <c r="D43" s="30"/>
      <c r="E43" s="30"/>
      <c r="F43" s="31"/>
    </row>
    <row r="44" spans="1:6" ht="15" thickBot="1" x14ac:dyDescent="0.45">
      <c r="A44" s="33"/>
      <c r="B44" s="15" t="s">
        <v>176</v>
      </c>
      <c r="C44" s="16" t="s">
        <v>172</v>
      </c>
      <c r="D44" s="16" t="s">
        <v>174</v>
      </c>
      <c r="E44" s="16" t="s">
        <v>171</v>
      </c>
      <c r="F44" s="17" t="s">
        <v>175</v>
      </c>
    </row>
    <row r="45" spans="1:6" x14ac:dyDescent="0.4">
      <c r="A45" s="18" t="s">
        <v>176</v>
      </c>
      <c r="B45" s="3" t="s">
        <v>176</v>
      </c>
      <c r="C45" s="4" t="s">
        <v>172</v>
      </c>
      <c r="D45" s="4" t="s">
        <v>174</v>
      </c>
      <c r="E45" s="4" t="s">
        <v>171</v>
      </c>
      <c r="F45" s="5" t="s">
        <v>175</v>
      </c>
    </row>
    <row r="46" spans="1:6" x14ac:dyDescent="0.4">
      <c r="A46" s="18" t="s">
        <v>172</v>
      </c>
      <c r="B46" s="3" t="s">
        <v>176</v>
      </c>
      <c r="C46" s="4" t="s">
        <v>172</v>
      </c>
      <c r="D46" s="4" t="s">
        <v>174</v>
      </c>
      <c r="E46" s="4" t="s">
        <v>171</v>
      </c>
      <c r="F46" s="5" t="s">
        <v>175</v>
      </c>
    </row>
    <row r="47" spans="1:6" x14ac:dyDescent="0.4">
      <c r="A47" s="18" t="s">
        <v>174</v>
      </c>
      <c r="B47" s="3" t="s">
        <v>176</v>
      </c>
      <c r="C47" s="4" t="s">
        <v>172</v>
      </c>
      <c r="D47" s="4" t="s">
        <v>174</v>
      </c>
      <c r="E47" s="4" t="s">
        <v>174</v>
      </c>
      <c r="F47" s="5" t="s">
        <v>171</v>
      </c>
    </row>
    <row r="48" spans="1:6" x14ac:dyDescent="0.4">
      <c r="A48" s="18" t="s">
        <v>171</v>
      </c>
      <c r="B48" s="3" t="s">
        <v>176</v>
      </c>
      <c r="C48" s="4" t="s">
        <v>172</v>
      </c>
      <c r="D48" s="4" t="s">
        <v>172</v>
      </c>
      <c r="E48" s="4" t="s">
        <v>172</v>
      </c>
      <c r="F48" s="5" t="s">
        <v>174</v>
      </c>
    </row>
    <row r="49" spans="1:6" ht="15" thickBot="1" x14ac:dyDescent="0.45">
      <c r="A49" s="19" t="s">
        <v>175</v>
      </c>
      <c r="B49" s="6" t="s">
        <v>176</v>
      </c>
      <c r="C49" s="7" t="s">
        <v>176</v>
      </c>
      <c r="D49" s="7" t="s">
        <v>176</v>
      </c>
      <c r="E49" s="7" t="s">
        <v>172</v>
      </c>
      <c r="F49" s="8" t="s">
        <v>172</v>
      </c>
    </row>
    <row r="52" spans="1:6" ht="15" thickBot="1" x14ac:dyDescent="0.45"/>
    <row r="53" spans="1:6" ht="15" thickBot="1" x14ac:dyDescent="0.45">
      <c r="A53" s="26" t="s">
        <v>293</v>
      </c>
      <c r="B53" s="27"/>
      <c r="C53" s="28"/>
    </row>
    <row r="54" spans="1:6" ht="15" thickBot="1" x14ac:dyDescent="0.45">
      <c r="A54" s="20" t="s">
        <v>188</v>
      </c>
      <c r="B54" s="21" t="s">
        <v>189</v>
      </c>
      <c r="C54" s="22" t="s">
        <v>190</v>
      </c>
    </row>
    <row r="55" spans="1:6" x14ac:dyDescent="0.4">
      <c r="A55" s="3" t="s">
        <v>175</v>
      </c>
      <c r="B55" s="4">
        <v>10</v>
      </c>
      <c r="C55" s="5" t="s">
        <v>209</v>
      </c>
    </row>
    <row r="56" spans="1:6" x14ac:dyDescent="0.4">
      <c r="A56" s="3" t="s">
        <v>171</v>
      </c>
      <c r="B56" s="4">
        <v>8</v>
      </c>
      <c r="C56" s="5" t="s">
        <v>210</v>
      </c>
    </row>
    <row r="57" spans="1:6" x14ac:dyDescent="0.4">
      <c r="A57" s="3" t="s">
        <v>174</v>
      </c>
      <c r="B57" s="4">
        <v>5</v>
      </c>
      <c r="C57" s="5" t="s">
        <v>211</v>
      </c>
    </row>
    <row r="58" spans="1:6" x14ac:dyDescent="0.4">
      <c r="A58" s="3" t="s">
        <v>172</v>
      </c>
      <c r="B58" s="4">
        <v>2</v>
      </c>
      <c r="C58" s="5" t="s">
        <v>213</v>
      </c>
    </row>
    <row r="59" spans="1:6" ht="15" thickBot="1" x14ac:dyDescent="0.45">
      <c r="A59" s="6" t="s">
        <v>176</v>
      </c>
      <c r="B59" s="7">
        <v>0</v>
      </c>
      <c r="C59" s="8" t="s">
        <v>212</v>
      </c>
    </row>
  </sheetData>
  <mergeCells count="10">
    <mergeCell ref="A11:D11"/>
    <mergeCell ref="A1:C1"/>
    <mergeCell ref="A32:C32"/>
    <mergeCell ref="A53:C53"/>
    <mergeCell ref="B22:F22"/>
    <mergeCell ref="A22:A23"/>
    <mergeCell ref="A21:F21"/>
    <mergeCell ref="A42:F42"/>
    <mergeCell ref="A43:A44"/>
    <mergeCell ref="B43:F4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3B2BB-F3A0-4279-B57D-DE88762142CC}">
  <dimension ref="A1:C1"/>
  <sheetViews>
    <sheetView workbookViewId="0">
      <selection activeCell="B46" sqref="B46"/>
    </sheetView>
  </sheetViews>
  <sheetFormatPr defaultRowHeight="14.6" x14ac:dyDescent="0.4"/>
  <cols>
    <col min="2" max="2" width="18.921875" bestFit="1" customWidth="1"/>
    <col min="3" max="3" width="13.4609375" bestFit="1" customWidth="1"/>
  </cols>
  <sheetData>
    <row r="1" spans="1:3" x14ac:dyDescent="0.4">
      <c r="A1" t="s">
        <v>0</v>
      </c>
      <c r="B1" t="s">
        <v>166</v>
      </c>
      <c r="C1" t="s">
        <v>167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A3CE5-A819-4009-BEAA-45AC083A82A3}">
  <dimension ref="A1:A15"/>
  <sheetViews>
    <sheetView workbookViewId="0">
      <selection activeCell="A2" sqref="A2"/>
    </sheetView>
  </sheetViews>
  <sheetFormatPr defaultRowHeight="14.6" x14ac:dyDescent="0.4"/>
  <cols>
    <col min="1" max="1" width="30.921875" bestFit="1" customWidth="1"/>
  </cols>
  <sheetData>
    <row r="1" spans="1:1" x14ac:dyDescent="0.4">
      <c r="A1" t="s">
        <v>227</v>
      </c>
    </row>
    <row r="2" spans="1:1" x14ac:dyDescent="0.4">
      <c r="A2" t="s">
        <v>149</v>
      </c>
    </row>
    <row r="3" spans="1:1" x14ac:dyDescent="0.4">
      <c r="A3" t="s">
        <v>150</v>
      </c>
    </row>
    <row r="4" spans="1:1" x14ac:dyDescent="0.4">
      <c r="A4" t="s">
        <v>151</v>
      </c>
    </row>
    <row r="5" spans="1:1" x14ac:dyDescent="0.4">
      <c r="A5" t="s">
        <v>152</v>
      </c>
    </row>
    <row r="6" spans="1:1" x14ac:dyDescent="0.4">
      <c r="A6" t="s">
        <v>153</v>
      </c>
    </row>
    <row r="7" spans="1:1" x14ac:dyDescent="0.4">
      <c r="A7" t="s">
        <v>154</v>
      </c>
    </row>
    <row r="8" spans="1:1" x14ac:dyDescent="0.4">
      <c r="A8" t="s">
        <v>155</v>
      </c>
    </row>
    <row r="9" spans="1:1" x14ac:dyDescent="0.4">
      <c r="A9" t="s">
        <v>156</v>
      </c>
    </row>
    <row r="10" spans="1:1" x14ac:dyDescent="0.4">
      <c r="A10" t="s">
        <v>157</v>
      </c>
    </row>
    <row r="11" spans="1:1" x14ac:dyDescent="0.4">
      <c r="A11" t="s">
        <v>158</v>
      </c>
    </row>
    <row r="12" spans="1:1" x14ac:dyDescent="0.4">
      <c r="A12" t="s">
        <v>159</v>
      </c>
    </row>
    <row r="13" spans="1:1" x14ac:dyDescent="0.4">
      <c r="A13" t="s">
        <v>160</v>
      </c>
    </row>
    <row r="14" spans="1:1" x14ac:dyDescent="0.4">
      <c r="A14" t="s">
        <v>161</v>
      </c>
    </row>
    <row r="15" spans="1:1" x14ac:dyDescent="0.4">
      <c r="A15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Attack Tree Structure</vt:lpstr>
      <vt:lpstr>Attack Tree Edges</vt:lpstr>
      <vt:lpstr>Attack Leaf Risk Matrix</vt:lpstr>
      <vt:lpstr>Scoring Scales &amp; Logic</vt:lpstr>
      <vt:lpstr>Workflow Burdon Data Collection</vt:lpstr>
      <vt:lpstr>Data Validation</vt:lpstr>
      <vt:lpstr>SolutionFeatures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Brenden Shutt</dc:creator>
  <cp:lastModifiedBy>Brenden Shutt</cp:lastModifiedBy>
  <dcterms:created xsi:type="dcterms:W3CDTF">2026-10-01T18:46:25Z</dcterms:created>
  <dcterms:modified xsi:type="dcterms:W3CDTF">2026-10-09T16:21:21Z</dcterms:modified>
</cp:coreProperties>
</file>